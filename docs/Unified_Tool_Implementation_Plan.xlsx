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ist" sheetId="1" state="visible" r:id="rId3"/>
    <sheet name="Risk Register" sheetId="2" state="visible" r:id="rId4"/>
    <sheet name="BV-BRC Patterns" sheetId="3" state="visible" r:id="rId5"/>
    <sheet name="Parameter Map" sheetId="4" state="visible" r:id="rId6"/>
  </sheets>
  <definedNames>
    <definedName function="false" hidden="true" localSheetId="0" name="_xlnm._FilterDatabase" vbProcedure="false">'Task List'!$A$3:$L$3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<sst xmlns="http://schemas.openxmlformats.org/spreadsheetml/2006/main" count="770" uniqueCount="456">
  <si>
    <t xml:space="preserve">Unified Protein Structure Prediction Tool — Implementation Plan</t>
  </si>
  <si>
    <t xml:space="preserve">MVP: ~5 weeks (Phase 1+2)  |  Full BV-BRC: ~10 weeks  |  Following APPSERVICE_IMPLEMENTATION_PLAN.md patterns</t>
  </si>
  <si>
    <t xml:space="preserve">ID</t>
  </si>
  <si>
    <t xml:space="preserve">Phase</t>
  </si>
  <si>
    <t xml:space="preserve">Task</t>
  </si>
  <si>
    <t xml:space="preserve">Description</t>
  </si>
  <si>
    <t xml:space="preserve">Owner</t>
  </si>
  <si>
    <t xml:space="preserve">Priority</t>
  </si>
  <si>
    <t xml:space="preserve">Status</t>
  </si>
  <si>
    <t xml:space="preserve">Depends On</t>
  </si>
  <si>
    <t xml:space="preserve">Effort (h)</t>
  </si>
  <si>
    <t xml:space="preserve">Week</t>
  </si>
  <si>
    <t xml:space="preserve">Deliverable</t>
  </si>
  <si>
    <t xml:space="preserve">Notes</t>
  </si>
  <si>
    <t xml:space="preserve">PHASE 0: PROJECT SETUP &amp; SCAFFOLDING (Week 1)</t>
  </si>
  <si>
    <t xml:space="preserve">P0.1</t>
  </si>
  <si>
    <t xml:space="preserve">Phase 0</t>
  </si>
  <si>
    <t xml:space="preserve">Create PredictStructureApp directory</t>
  </si>
  <si>
    <t xml:space="preserve">Scaffold directory following boltzApp pattern: app_specs/, service-scripts/, scripts/, lib/, container/, docs/, tests/, test_data/</t>
  </si>
  <si>
    <t xml:space="preserve">Dev</t>
  </si>
  <si>
    <t xml:space="preserve">Critical</t>
  </si>
  <si>
    <t xml:space="preserve">Not Started</t>
  </si>
  <si>
    <t xml:space="preserve">-</t>
  </si>
  <si>
    <t xml:space="preserve">W1</t>
  </si>
  <si>
    <t xml:space="preserve">PredictStructureApp/</t>
  </si>
  <si>
    <t xml:space="preserve">Mirror boltzApp structure exactly</t>
  </si>
  <si>
    <t xml:space="preserve">P0.2</t>
  </si>
  <si>
    <t xml:space="preserve">Create Makefile</t>
  </si>
  <si>
    <t xml:space="preserve">Copy boltzApp/Makefile, update TOP_DIR, CURRENT_DIR. Standard targets: all, bin, deploy-client, deploy-service, deploy-specs</t>
  </si>
  <si>
    <t xml:space="preserve">Makefile</t>
  </si>
  <si>
    <t xml:space="preserve">Identical pattern across all apps</t>
  </si>
  <si>
    <t xml:space="preserve">P0.3</t>
  </si>
  <si>
    <t xml:space="preserve">Create CLAUDE.md</t>
  </si>
  <si>
    <t xml:space="preserve">Document unified app conventions, adapter pattern, parameter mapping, testing strategy</t>
  </si>
  <si>
    <t xml:space="preserve">High</t>
  </si>
  <si>
    <t xml:space="preserve">CLAUDE.md</t>
  </si>
  <si>
    <t xml:space="preserve">P0.4</t>
  </si>
  <si>
    <t xml:space="preserve">Create pyproject.toml</t>
  </si>
  <si>
    <t xml:space="preserve">Python package config for predict_structure/ with click, biopython, pandas deps</t>
  </si>
  <si>
    <t xml:space="preserve">pyproject.toml</t>
  </si>
  <si>
    <t xml:space="preserve">P0.5</t>
  </si>
  <si>
    <t xml:space="preserve">Check CEPI repo (github.com/wilke/CEPI)</t>
  </si>
  <si>
    <t xml:space="preserve">Review CEPI for any reusable patterns, CLI designs, or shared infrastructure</t>
  </si>
  <si>
    <t xml:space="preserve">Medium</t>
  </si>
  <si>
    <t xml:space="preserve">Repo appears private — get access</t>
  </si>
  <si>
    <t xml:space="preserve">PHASE 1: PYTHON CLI + ADAPTERS (Weeks 1-4)</t>
  </si>
  <si>
    <t xml:space="preserve">P1.1</t>
  </si>
  <si>
    <t xml:space="preserve">Phase 1</t>
  </si>
  <si>
    <t xml:space="preserve">Create base adapter class</t>
  </si>
  <si>
    <t xml:space="preserve">Abstract class: prepare_input(), build_command(), run(), normalize_output(). Define unified param names.</t>
  </si>
  <si>
    <t xml:space="preserve">predict_structure/adapters/base.py</t>
  </si>
  <si>
    <t xml:space="preserve">P1.2</t>
  </si>
  <si>
    <t xml:space="preserve">Implement BoltzAdapter</t>
  </si>
  <si>
    <t xml:space="preserve">FASTA→YAML conversion, --diffusion_samples→num_samples mapping, mmCIF→PDB output conversion, confidence JSON extraction</t>
  </si>
  <si>
    <t xml:space="preserve">W1-2</t>
  </si>
  <si>
    <t xml:space="preserve">predict_structure/adapters/boltz.py</t>
  </si>
  <si>
    <t xml:space="preserve">Use boltz predict CLI directly</t>
  </si>
  <si>
    <t xml:space="preserve">P1.3</t>
  </si>
  <si>
    <t xml:space="preserve">Implement ESMFoldAdapter (HuggingFace)</t>
  </si>
  <si>
    <t xml:space="preserve">Direct FASTA pass-through, --num-recycles mapping, PDB output (native), pLDDT extraction from B-factors</t>
  </si>
  <si>
    <t xml:space="preserve">W2</t>
  </si>
  <si>
    <t xml:space="preserve">predict_structure/adapters/esmfold.py</t>
  </si>
  <si>
    <t xml:space="preserve">Use HF esm-fold-hf, not legacy</t>
  </si>
  <si>
    <t xml:space="preserve">P1.4</t>
  </si>
  <si>
    <t xml:space="preserve">Implement ChaiAdapter</t>
  </si>
  <si>
    <t xml:space="preserve">FASTA pass-through, A3M→Parquet MSA conversion via a3m-to-pqt, mmCIF→PDB output, scores.npz parsing</t>
  </si>
  <si>
    <t xml:space="preserve">W2-3</t>
  </si>
  <si>
    <t xml:space="preserve">predict_structure/adapters/chai.py</t>
  </si>
  <si>
    <t xml:space="preserve">Chai uses uv, not pip</t>
  </si>
  <si>
    <t xml:space="preserve">P1.5</t>
  </si>
  <si>
    <t xml:space="preserve">Implement AlphaFoldAdapter</t>
  </si>
  <si>
    <t xml:space="preserve">FASTA pass-through, precomputed MSA dir structure, DB path pass-through, PDB output (native), ranking_debug.json parsing</t>
  </si>
  <si>
    <t xml:space="preserve">W3</t>
  </si>
  <si>
    <t xml:space="preserve">predict_structure/adapters/alphafold.py</t>
  </si>
  <si>
    <t xml:space="preserve">Keep AF2 DB paths as pass-through</t>
  </si>
  <si>
    <t xml:space="preserve">P1.6</t>
  </si>
  <si>
    <t xml:space="preserve">Implement unified CLI entry point</t>
  </si>
  <si>
    <t xml:space="preserve">click-based CLI: predict-structure &lt;tool&gt; &lt;input.fasta&gt; -o &lt;dir&gt; [--num-samples, --num-recycles, --seed, --device, --msa, --boltz-*, --chai-*, etc.]</t>
  </si>
  <si>
    <t xml:space="preserve">P1.2,P1.3</t>
  </si>
  <si>
    <t xml:space="preserve">predict_structure/cli.py</t>
  </si>
  <si>
    <t xml:space="preserve">P1.7</t>
  </si>
  <si>
    <t xml:space="preserve">Input format conversion module</t>
  </si>
  <si>
    <t xml:space="preserve">FASTA→Boltz YAML (with optional MSA injection), A3M→Parquet for Chai, single-seq A3M generator for AF2 no-MSA mode</t>
  </si>
  <si>
    <t xml:space="preserve">predict_structure/converters.py</t>
  </si>
  <si>
    <t xml:space="preserve">BioPython for PDB/CIF</t>
  </si>
  <si>
    <t xml:space="preserve">P1.8</t>
  </si>
  <si>
    <t xml:space="preserve">Output normalization module</t>
  </si>
  <si>
    <t xml:space="preserve">mmCIF→PDB (gemmi/BioPython), confidence JSON schema: {plddt_mean, ptm, per_residue_plddt[]}, metadata.json with tool/params/runtime</t>
  </si>
  <si>
    <t xml:space="preserve">predict_structure/normalizers.py</t>
  </si>
  <si>
    <t xml:space="preserve">All tools → same output dir layout</t>
  </si>
  <si>
    <t xml:space="preserve">P1.9</t>
  </si>
  <si>
    <t xml:space="preserve">Docker execution backend</t>
  </si>
  <si>
    <t xml:space="preserve">subprocess.run() wrapping docker run commands, volume mounting for input/output/cache, GPU device passthrough</t>
  </si>
  <si>
    <t xml:space="preserve">predict_structure/backends/docker.py</t>
  </si>
  <si>
    <t xml:space="preserve">P1.10</t>
  </si>
  <si>
    <t xml:space="preserve">Unit tests for adapters</t>
  </si>
  <si>
    <t xml:space="preserve">Test each adapter: param mapping, command building, output normalization. Use pilot target subset (1UBQ, 4LZT).</t>
  </si>
  <si>
    <t xml:space="preserve">P1.2-P1.5</t>
  </si>
  <si>
    <t xml:space="preserve">W3-4</t>
  </si>
  <si>
    <t xml:space="preserve">tests/test_adapters.py</t>
  </si>
  <si>
    <t xml:space="preserve">P1.11</t>
  </si>
  <si>
    <t xml:space="preserve">Integration test: end-to-end prediction</t>
  </si>
  <si>
    <t xml:space="preserve">Run predict-structure boltz/esmfold on test FASTA, verify normalized output structure</t>
  </si>
  <si>
    <t xml:space="preserve">P1.9,P1.10</t>
  </si>
  <si>
    <t xml:space="preserve">W4</t>
  </si>
  <si>
    <t xml:space="preserve">tests/test_integration.py</t>
  </si>
  <si>
    <t xml:space="preserve">Requires GPU for full test</t>
  </si>
  <si>
    <t xml:space="preserve">P1.12</t>
  </si>
  <si>
    <t xml:space="preserve">Create test_data/</t>
  </si>
  <si>
    <t xml:space="preserve">simple_protein.fasta (1UBQ), multimer.fasta, protein_ligand.yaml (Boltz), params.json (BV-BRC test), validate_output.sh</t>
  </si>
  <si>
    <t xml:space="preserve">test_data/</t>
  </si>
  <si>
    <t xml:space="preserve">Follow Stream C pattern from APPSERVICE plan</t>
  </si>
  <si>
    <t xml:space="preserve">PHASE 2: ESMFOLD HUGGINGFACE MIGRATION (Weeks 3-5)</t>
  </si>
  <si>
    <t xml:space="preserve">P2.1</t>
  </si>
  <si>
    <t xml:space="preserve">Phase 2</t>
  </si>
  <si>
    <t xml:space="preserve">Audit existing hf_fold.py</t>
  </si>
  <si>
    <t xml:space="preserve">Review ESMFoldApp/esm_hf/scripts/hf_fold.py, identify gaps vs legacy esm-fold CLI, document parameter parity</t>
  </si>
  <si>
    <t xml:space="preserve">P2.2</t>
  </si>
  <si>
    <t xml:space="preserve">Promote hf_fold.py to primary CLI</t>
  </si>
  <si>
    <t xml:space="preserve">Add --num-recycles, --chunk-size, --fp16, --max-tokens-per-batch, --cpu-only flags. Entry point: esm-fold-hf</t>
  </si>
  <si>
    <t xml:space="preserve">scripts/esm-fold-hf</t>
  </si>
  <si>
    <t xml:space="preserve">P2.3</t>
  </si>
  <si>
    <t xml:space="preserve">Create lightweight Docker image</t>
  </si>
  <si>
    <t xml:space="preserve">FROM nvidia/cuda → pip install transformers torch → COPY esm-fold-hf. Target: ~8GB (vs ~15GB legacy)</t>
  </si>
  <si>
    <t xml:space="preserve">container/Dockerfile.esmfold-hf</t>
  </si>
  <si>
    <t xml:space="preserve">No OpenFold dependency</t>
  </si>
  <si>
    <t xml:space="preserve">P2.4</t>
  </si>
  <si>
    <t xml:space="preserve">Build BV-BRC runtime layer</t>
  </si>
  <si>
    <t xml:space="preserve">FROM dxkb/esmfold-hf → add Perl 5.40 + CPAN + BV-BRC modules. Follow Dockerfile.boltz-bvbrc pattern exactly.</t>
  </si>
  <si>
    <t xml:space="preserve">container/Dockerfile.esmfold-hf-bvbrc</t>
  </si>
  <si>
    <t xml:space="preserve">3-layer Docker pattern</t>
  </si>
  <si>
    <t xml:space="preserve">P2.5</t>
  </si>
  <si>
    <t xml:space="preserve">Validate output parity on pilot targets</t>
  </si>
  <si>
    <t xml:space="preserve">Run both legacy esm-fold and new esm-fold-hf on 10 pilot targets. Compare pLDDT, RMSD. Acceptance: &lt;0.5Å RMSD delta.</t>
  </si>
  <si>
    <t xml:space="preserve">W4-5</t>
  </si>
  <si>
    <t xml:space="preserve">results/esmfold_parity/</t>
  </si>
  <si>
    <t xml:space="preserve">GPU required</t>
  </si>
  <si>
    <t xml:space="preserve">P2.6</t>
  </si>
  <si>
    <t xml:space="preserve">Update ProteinFoldingApp CWL</t>
  </si>
  <si>
    <t xml:space="preserve">Change esmfold-predict.cwl baseCommand from esm-fold to esm-fold-hf, update Docker image reference</t>
  </si>
  <si>
    <t xml:space="preserve">W5</t>
  </si>
  <si>
    <t xml:space="preserve">cwl/tools/esmfold-predict.cwl</t>
  </si>
  <si>
    <t xml:space="preserve">P2.7</t>
  </si>
  <si>
    <t xml:space="preserve">Deprecation notice for legacy esm-fold</t>
  </si>
  <si>
    <t xml:space="preserve">Add deprecation warning to ESMFoldApp, update README, document migration guide</t>
  </si>
  <si>
    <t xml:space="preserve">Low</t>
  </si>
  <si>
    <t xml:space="preserve">docs/MIGRATION.md</t>
  </si>
  <si>
    <t xml:space="preserve">PHASE 3: CWL INTEGRATION (Weeks 5-7)</t>
  </si>
  <si>
    <t xml:space="preserve">P3.1</t>
  </si>
  <si>
    <t xml:space="preserve">Phase 3</t>
  </si>
  <si>
    <t xml:space="preserve">Create predict-structure.cwl tool definition</t>
  </si>
  <si>
    <t xml:space="preserve">CWL v1.2 CommandLineTool wrapping unified CLI. Inputs: tool enum, FASTA, output_dir, all unified params. DockerRequirement.</t>
  </si>
  <si>
    <t xml:space="preserve">cwl/tools/predict-structure.cwl</t>
  </si>
  <si>
    <t xml:space="preserve">Follow ProteinFoldingApp CWL pattern</t>
  </si>
  <si>
    <t xml:space="preserve">P3.2</t>
  </si>
  <si>
    <t xml:space="preserve">Create unified stability pipeline CWL</t>
  </si>
  <si>
    <t xml:space="preserve">Workflow: predict-structure → stabilinnator. Follow protein_stability_pipeline.cwl pattern. Tool selector as input enum.</t>
  </si>
  <si>
    <t xml:space="preserve">W5-6</t>
  </si>
  <si>
    <t xml:space="preserve">cwl/workflows/unified_stability_pipeline.cwl</t>
  </si>
  <si>
    <t xml:space="preserve">Chain like ProteinEngineeringWorkflows</t>
  </si>
  <si>
    <t xml:space="preserve">P3.3</t>
  </si>
  <si>
    <t xml:space="preserve">Add --backend cwl mode to CLI</t>
  </si>
  <si>
    <t xml:space="preserve">predict-structure --backend cwl generates CWL job YAML and submits to GoWe. Reuse existing GoWe submission pattern.</t>
  </si>
  <si>
    <t xml:space="preserve">W6</t>
  </si>
  <si>
    <t xml:space="preserve">predict_structure/backends/cwl.py</t>
  </si>
  <si>
    <t xml:space="preserve">P3.4</t>
  </si>
  <si>
    <t xml:space="preserve">Update ProteinFoldingApp experiments</t>
  </si>
  <si>
    <t xml:space="preserve">Optionally run experiments 1-4 through unified tool. Backwards-compatible with direct CWL tools.</t>
  </si>
  <si>
    <t xml:space="preserve">W6-7</t>
  </si>
  <si>
    <t xml:space="preserve">Updated experiment CWLs</t>
  </si>
  <si>
    <t xml:space="preserve">P3.5</t>
  </si>
  <si>
    <t xml:space="preserve">CWL validation tests</t>
  </si>
  <si>
    <t xml:space="preserve">cwltool --validate on all new CWL files. End-to-end: cwltool predict-structure.cwl test_job.yml</t>
  </si>
  <si>
    <t xml:space="preserve">P3.1,P3.2</t>
  </si>
  <si>
    <t xml:space="preserve">W7</t>
  </si>
  <si>
    <t xml:space="preserve">tests/test_cwl.sh</t>
  </si>
  <si>
    <t xml:space="preserve">PHASE 4: BV-BRC APPSERVICE INTEGRATION (Weeks 7-10)</t>
  </si>
  <si>
    <t xml:space="preserve">P4.1</t>
  </si>
  <si>
    <t xml:space="preserve">Phase 4</t>
  </si>
  <si>
    <t xml:space="preserve">Create PredictStructure.json app_spec</t>
  </si>
  <si>
    <t xml:space="preserve">Follow Boltz.json pattern exactly. Add "tool" enum param (boltz/chai/alphafold/esmfold/auto). Unified params + tool-specific pass-through sections.</t>
  </si>
  <si>
    <t xml:space="preserve">app_specs/PredictStructure.json</t>
  </si>
  <si>
    <t xml:space="preserve">See Boltz.json for schema</t>
  </si>
  <si>
    <t xml:space="preserve">P4.2</t>
  </si>
  <si>
    <t xml:space="preserve">Create App-PredictStructure.pl</t>
  </si>
  <si>
    <t xml:space="preserve">BV-BRC AppScript pattern: preflight() + run_predict_structure(). Dispatch to adapters. Download/upload workspace files.</t>
  </si>
  <si>
    <t xml:space="preserve">W7-8</t>
  </si>
  <si>
    <t xml:space="preserve">service-scripts/App-PredictStructure.pl</t>
  </si>
  <si>
    <t xml:space="preserve">Follow App-Boltz.pl pattern</t>
  </si>
  <si>
    <t xml:space="preserve">P4.3</t>
  </si>
  <si>
    <t xml:space="preserve">Implement preflight() resource estimation</t>
  </si>
  <si>
    <t xml:space="preserve">Dynamic: tool + samples + sequence length → CPU/memory/runtime/GPU. Follow Boltz heuristics: +1h/sample, +500MB/recycle.</t>
  </si>
  <si>
    <t xml:space="preserve">W8</t>
  </si>
  <si>
    <t xml:space="preserve">In App-PredictStructure.pl</t>
  </si>
  <si>
    <t xml:space="preserve">ESMFold: no GPU policy needed</t>
  </si>
  <si>
    <t xml:space="preserve">P4.4</t>
  </si>
  <si>
    <t xml:space="preserve">Implement tool auto-routing logic</t>
  </si>
  <si>
    <t xml:space="preserve">YAML input→Boltz, multi-chain FASTA→Chai, single protein+no MSA→ESMFold, single protein+MSA→AlphaFold</t>
  </si>
  <si>
    <t xml:space="preserve">Open question: exact heuristic</t>
  </si>
  <si>
    <t xml:space="preserve">P4.5</t>
  </si>
  <si>
    <t xml:space="preserve">Implement workspace download/upload</t>
  </si>
  <si>
    <t xml:space="preserve">download_workspace_file(), upload_results() with recursive file finding. File type detection: structure/json/fasta/binary.</t>
  </si>
  <si>
    <t xml:space="preserve">Copy pattern from App-Boltz.pl</t>
  </si>
  <si>
    <t xml:space="preserve">P4.6</t>
  </si>
  <si>
    <t xml:space="preserve">Create Docker image for unified app</t>
  </si>
  <si>
    <t xml:space="preserve">Multi-tool image OR delegation to per-tool images. Option A: fat image with all tools. Option B: delegate to existing containers.</t>
  </si>
  <si>
    <t xml:space="preserve">W8-9</t>
  </si>
  <si>
    <t xml:space="preserve">container/Dockerfile.PredictStructure-bvbrc</t>
  </si>
  <si>
    <t xml:space="preserve">Delegation = smaller, more maintainable</t>
  </si>
  <si>
    <t xml:space="preserve">P4.7</t>
  </si>
  <si>
    <t xml:space="preserve">Create Apptainer/Singularity definition</t>
  </si>
  <si>
    <t xml:space="preserve">Bootstrap: docker, From: dxkb/predict-structure-bvbrc:latest-gpu. Follow boltz-bvbrc.def pattern.</t>
  </si>
  <si>
    <t xml:space="preserve">W9</t>
  </si>
  <si>
    <t xml:space="preserve">container/predict-structure-bvbrc.def</t>
  </si>
  <si>
    <t xml:space="preserve">For HPC/SLURM deployment</t>
  </si>
  <si>
    <t xml:space="preserve">P4.8</t>
  </si>
  <si>
    <t xml:space="preserve">BV-BRC integration tests</t>
  </si>
  <si>
    <t xml:space="preserve">Test with params.json locally (no workspace). Test preflight for each tool. Test workspace mock.</t>
  </si>
  <si>
    <t xml:space="preserve">P4.2-P4.5</t>
  </si>
  <si>
    <t xml:space="preserve">tests/</t>
  </si>
  <si>
    <t xml:space="preserve">Follow Stream C from APPSERVICE plan</t>
  </si>
  <si>
    <t xml:space="preserve">P4.9</t>
  </si>
  <si>
    <t xml:space="preserve">GPU validation on HPC</t>
  </si>
  <si>
    <t xml:space="preserve">Deploy Apptainer image to gpu2 partition. Run each tool through App-PredictStructure.pl. Validate SLURM resource allocation.</t>
  </si>
  <si>
    <t xml:space="preserve">P4.7,P4.8</t>
  </si>
  <si>
    <t xml:space="preserve">W9-10</t>
  </si>
  <si>
    <t xml:space="preserve">Test results</t>
  </si>
  <si>
    <t xml:space="preserve">Needs A100|H100|H200</t>
  </si>
  <si>
    <t xml:space="preserve">P4.10</t>
  </si>
  <si>
    <t xml:space="preserve">Documentation and examples</t>
  </si>
  <si>
    <t xml:space="preserve">User guide, parameter reference, example params.json for each tool, troubleshooting guide</t>
  </si>
  <si>
    <t xml:space="preserve">W10</t>
  </si>
  <si>
    <t xml:space="preserve">docs/</t>
  </si>
  <si>
    <t xml:space="preserve">P4.11</t>
  </si>
  <si>
    <t xml:space="preserve">Deploy to BV-BRC production</t>
  </si>
  <si>
    <t xml:space="preserve">make deploy-service → $(TARGET)/services/app_service/app_specs/. Register app. Verify in web UI.</t>
  </si>
  <si>
    <t xml:space="preserve">P4.9,P4.10</t>
  </si>
  <si>
    <t xml:space="preserve">Deployed app</t>
  </si>
  <si>
    <t xml:space="preserve">Coordinate with BV-BRC ops</t>
  </si>
  <si>
    <t xml:space="preserve">PHASE 5: ENHANCEMENTS (Post-MVP)</t>
  </si>
  <si>
    <t xml:space="preserve">P5.1</t>
  </si>
  <si>
    <t xml:space="preserve">Phase 5</t>
  </si>
  <si>
    <t xml:space="preserve">Ensemble mode</t>
  </si>
  <si>
    <t xml:space="preserve">predict-structure --ensemble runs all tools, picks best by pTM/pLDDT. Uses ProteinFoldingApp comparison infra.</t>
  </si>
  <si>
    <t xml:space="preserve">W11+</t>
  </si>
  <si>
    <t xml:space="preserve">predict_structure/ensemble.py</t>
  </si>
  <si>
    <t xml:space="preserve">Open question</t>
  </si>
  <si>
    <t xml:space="preserve">P5.2</t>
  </si>
  <si>
    <t xml:space="preserve">stabiliNNator integration</t>
  </si>
  <si>
    <t xml:space="preserve">predict-structure --analyze-stability chains prediction→stability analysis. Reuse protein_stability_pipeline.cwl pattern.</t>
  </si>
  <si>
    <t xml:space="preserve">CLI flag + CWL step</t>
  </si>
  <si>
    <t xml:space="preserve">P5.3</t>
  </si>
  <si>
    <t xml:space="preserve">Non-protein entity support</t>
  </si>
  <si>
    <t xml:space="preserve">Ligands/DNA/RNA: only Boltz supports natively via YAML. Unified CLI passes Boltz YAML through; warns for other tools.</t>
  </si>
  <si>
    <t xml:space="preserve">W12+</t>
  </si>
  <si>
    <t xml:space="preserve">Extended adapters</t>
  </si>
  <si>
    <t xml:space="preserve">Scope creep risk</t>
  </si>
  <si>
    <t xml:space="preserve">P5.4</t>
  </si>
  <si>
    <t xml:space="preserve">Version pinning and registry</t>
  </si>
  <si>
    <t xml:space="preserve">Track tool versions per Docker image. --tool-version flag. Version compatibility matrix.</t>
  </si>
  <si>
    <t xml:space="preserve">predict_structure/versions.py</t>
  </si>
  <si>
    <t xml:space="preserve">SUMMARY</t>
  </si>
  <si>
    <t xml:space="preserve">Total Tasks:</t>
  </si>
  <si>
    <t xml:space="preserve">Total Effort (h):</t>
  </si>
  <si>
    <t xml:space="preserve">Not Started:</t>
  </si>
  <si>
    <t xml:space="preserve">In Progress:</t>
  </si>
  <si>
    <t xml:space="preserve">Done:</t>
  </si>
  <si>
    <t xml:space="preserve">Risk Register — Unified Protein Structure Prediction Tool</t>
  </si>
  <si>
    <t xml:space="preserve">Risk</t>
  </si>
  <si>
    <t xml:space="preserve">Likelihood</t>
  </si>
  <si>
    <t xml:space="preserve">Impact</t>
  </si>
  <si>
    <t xml:space="preserve">Score</t>
  </si>
  <si>
    <t xml:space="preserve">Mitigation</t>
  </si>
  <si>
    <t xml:space="preserve">Contingency</t>
  </si>
  <si>
    <t xml:space="preserve">R1</t>
  </si>
  <si>
    <t xml:space="preserve">Upstream API Breaking Changes</t>
  </si>
  <si>
    <t xml:space="preserve">Pin tool versions in Docker images; adapter layer absorbs CLI changes; semantic versioning for unified tool</t>
  </si>
  <si>
    <t xml:space="preserve">Open</t>
  </si>
  <si>
    <t xml:space="preserve">Roll back to last known-good Docker tag</t>
  </si>
  <si>
    <t xml:space="preserve">R2</t>
  </si>
  <si>
    <t xml:space="preserve">Chai MSA Format Conversion</t>
  </si>
  <si>
    <t xml:space="preserve">A3M→Parquet conversion in adapter with size validation; test with MSAs from 8 to 50K sequences</t>
  </si>
  <si>
    <t xml:space="preserve">Fall back to Chai --use-msa-server</t>
  </si>
  <si>
    <t xml:space="preserve">R3</t>
  </si>
  <si>
    <t xml:space="preserve">GPU Memory Fragmentation</t>
  </si>
  <si>
    <t xml:space="preserve">Per-tool VRAM profiles in preflight(); auto-select batch size; --device auto based on nvidia-smi</t>
  </si>
  <si>
    <t xml:space="preserve">Fall back to CPU for ESMFold; queue retry for others</t>
  </si>
  <si>
    <t xml:space="preserve">R4</t>
  </si>
  <si>
    <t xml:space="preserve">ESMFold HF Model Parity</t>
  </si>
  <si>
    <t xml:space="preserve">Validate on 10 pilot targets before deprecating legacy; acceptance: &lt;0.5Å RMSD delta</t>
  </si>
  <si>
    <t xml:space="preserve">Keep legacy Docker image as fallback</t>
  </si>
  <si>
    <t xml:space="preserve">R5</t>
  </si>
  <si>
    <t xml:space="preserve">AlphaFold2 DB Infrastructure</t>
  </si>
  <si>
    <t xml:space="preserve">Keep AF2 database paths as pass-through in adapter; don't abstract DB config</t>
  </si>
  <si>
    <t xml:space="preserve">Document manual DB setup steps</t>
  </si>
  <si>
    <t xml:space="preserve">R6</t>
  </si>
  <si>
    <t xml:space="preserve">Scope Creep (ligands, DNA/RNA)</t>
  </si>
  <si>
    <t xml:space="preserve">MVP is protein-only FASTA; Boltz YAML pass-through for advanced entities; Phase 5 for full support</t>
  </si>
  <si>
    <t xml:space="preserve">Defer to Phase 5; use Boltz directly for non-protein</t>
  </si>
  <si>
    <t xml:space="preserve">R7</t>
  </si>
  <si>
    <t xml:space="preserve">CEPI Integration Uncertainty</t>
  </si>
  <si>
    <t xml:space="preserve">Repo is private/inaccessible. Once access granted, evaluate for shared patterns. Don't block MVP.</t>
  </si>
  <si>
    <t xml:space="preserve">Proceed without CEPI; retrofit if valuable</t>
  </si>
  <si>
    <t xml:space="preserve">R8</t>
  </si>
  <si>
    <t xml:space="preserve">Multi-tool Docker Image Size</t>
  </si>
  <si>
    <t xml:space="preserve">Use delegation pattern (App-PredictStructure calls per-tool containers) instead of fat image</t>
  </si>
  <si>
    <t xml:space="preserve">Ship per-tool images; unified app delegates</t>
  </si>
  <si>
    <t xml:space="preserve">BV-BRC AppService Patterns Reference</t>
  </si>
  <si>
    <t xml:space="preserve">Pattern</t>
  </si>
  <si>
    <t xml:space="preserve">Example (Boltz)</t>
  </si>
  <si>
    <t xml:space="preserve">File Location</t>
  </si>
  <si>
    <t xml:space="preserve">Required for Unified App</t>
  </si>
  <si>
    <t xml:space="preserve">app_specs JSON</t>
  </si>
  <si>
    <t xml:space="preserve">Required fields: id, script, label, description, default_memory, default_cpu, default_runtime, parameters[], preflight{}</t>
  </si>
  <si>
    <t xml:space="preserve">Boltz.json: id="Boltz", script="App-Boltz"</t>
  </si>
  <si>
    <t xml:space="preserve">Yes</t>
  </si>
  <si>
    <t xml:space="preserve">Add "tool" enum: boltz/chai/alphafold/esmfold/auto</t>
  </si>
  <si>
    <t xml:space="preserve">Parameter types</t>
  </si>
  <si>
    <t xml:space="preserve">wsfile (workspace file), folder, string, int, bool, enum, list:wsfile</t>
  </si>
  <si>
    <t xml:space="preserve">input_file: wsfile, diffusion_samples: int, output_format: enum["mmcif","pdb"]</t>
  </si>
  <si>
    <t xml:space="preserve">app_specs/*.json</t>
  </si>
  <si>
    <t xml:space="preserve">Unified params + tool-specific sections</t>
  </si>
  <si>
    <t xml:space="preserve">Preflight function</t>
  </si>
  <si>
    <t xml:space="preserve">Returns {cpu, memory, runtime, storage, policy_data{gpu_count, partition, constraint}}</t>
  </si>
  <si>
    <t xml:space="preserve">cpu:8, memory:64G, runtime:7200, gpu2 partition, A100|H100|H200</t>
  </si>
  <si>
    <t xml:space="preserve">service-scripts/App-*.pl</t>
  </si>
  <si>
    <t xml:space="preserve">Dynamic based on tool + params</t>
  </si>
  <si>
    <t xml:space="preserve">Service script structure</t>
  </si>
  <si>
    <t xml:space="preserve">AppScript-&gt;new(\&amp;run_app, \&amp;preflight); $script-&gt;run(\@ARGV)</t>
  </si>
  <si>
    <t xml:space="preserve">my $script = Bio::KBase::AppService::AppScript-&gt;new()</t>
  </si>
  <si>
    <t xml:space="preserve">Identical across all apps</t>
  </si>
  <si>
    <t xml:space="preserve">Workspace download</t>
  </si>
  <si>
    <t xml:space="preserve">$app-&gt;workspace-&gt;download_file($ws_path, $local_path, 1)</t>
  </si>
  <si>
    <t xml:space="preserve">download_workspace_file($app, $input_file, $input_dir)</t>
  </si>
  <si>
    <t xml:space="preserve">use_shock=1 for files &gt;1KB</t>
  </si>
  <si>
    <t xml:space="preserve">Workspace upload</t>
  </si>
  <si>
    <t xml:space="preserve">$app-&gt;workspace-&gt;save_file_to_file($file, {}, $ws_file, $type, 1)</t>
  </si>
  <si>
    <t xml:space="preserve">upload_results($app, $output_dir, $output_path)</t>
  </si>
  <si>
    <t xml:space="preserve">Type detection: structure/json/fasta/binary</t>
  </si>
  <si>
    <t xml:space="preserve">Binary discovery</t>
  </si>
  <si>
    <t xml:space="preserve">Check PATH → env var (P3_TOOL_PATH) → default /opt/conda/bin</t>
  </si>
  <si>
    <t xml:space="preserve">find_boltz_binary() checks PATH, P3_BOLTZ_PATH, /opt/conda/bin</t>
  </si>
  <si>
    <t xml:space="preserve">Unified: find_tool_binary($tool_name)</t>
  </si>
  <si>
    <t xml:space="preserve">Input validation</t>
  </si>
  <si>
    <t xml:space="preserve">Detect format by extension then content. FASTA: /^&gt;/m, YAML: /^(version:|sequences:)/m</t>
  </si>
  <si>
    <t xml:space="preserve">detect_input_format($file, $hint)</t>
  </si>
  <si>
    <t xml:space="preserve">Add auto-routing: YAML→Boltz, FASTA→others</t>
  </si>
  <si>
    <t xml:space="preserve">Docker 3-layer pattern</t>
  </si>
  <si>
    <t xml:space="preserve">L1: nvidia/cuda → L2: tool+python → L3: BV-BRC runtime+Perl</t>
  </si>
  <si>
    <t xml:space="preserve">dxkb/boltz → dxkb/boltz-bvbrc</t>
  </si>
  <si>
    <t xml:space="preserve">container/Dockerfile.*</t>
  </si>
  <si>
    <t xml:space="preserve">Per-tool OR delegation pattern</t>
  </si>
  <si>
    <t xml:space="preserve">Makefile targets</t>
  </si>
  <si>
    <t xml:space="preserve">all, bin, deploy-client, deploy-service, deploy-specs, test-*</t>
  </si>
  <si>
    <t xml:space="preserve">make deploy-service copies app_specs + service-scripts to $(TARGET)</t>
  </si>
  <si>
    <t xml:space="preserve">Copy from boltzApp/Makefile</t>
  </si>
  <si>
    <t xml:space="preserve">CWL stability chain</t>
  </si>
  <si>
    <t xml:space="preserve">predict→stabilinnator in CWL Workflow. structure_file output feeds stability input.</t>
  </si>
  <si>
    <t xml:space="preserve">protein_stability_pipeline.cwl: boltz.cwl → stabilinnator.cwl</t>
  </si>
  <si>
    <t xml:space="preserve">cwl/workflows/</t>
  </si>
  <si>
    <t xml:space="preserve">Reuse for unified tool CWL</t>
  </si>
  <si>
    <t xml:space="preserve">GPU SLURM policy</t>
  </si>
  <si>
    <t xml:space="preserve">policy_data: {gpu_count:1, partition:"gpu2", constraint:"A100|H100|H200"}</t>
  </si>
  <si>
    <t xml:space="preserve">In preflight() return and app_specs preflight{}</t>
  </si>
  <si>
    <t xml:space="preserve">Both locations</t>
  </si>
  <si>
    <t xml:space="preserve">ESMFold: GPU optional, skip policy</t>
  </si>
  <si>
    <t xml:space="preserve">Environment variables</t>
  </si>
  <si>
    <t xml:space="preserve">P3_WORKDIR, P3_DEBUG, P3_LOG_LEVEL, TMPDIR, PERL5LIB, KB_TOP</t>
  </si>
  <si>
    <t xml:space="preserve">$ENV{P3_WORKDIR} // $ENV{TMPDIR} // "/tmp"</t>
  </si>
  <si>
    <t xml:space="preserve">Set P3_LOG_LEVEL default to INFO</t>
  </si>
  <si>
    <t xml:space="preserve">Unified ↔ Tool Parameter Mapping</t>
  </si>
  <si>
    <t xml:space="preserve">Unified CLI Flag</t>
  </si>
  <si>
    <t xml:space="preserve">Type</t>
  </si>
  <si>
    <t xml:space="preserve">Boltz-2</t>
  </si>
  <si>
    <t xml:space="preserve">Chai-1</t>
  </si>
  <si>
    <t xml:space="preserve">AlphaFold2</t>
  </si>
  <si>
    <t xml:space="preserve">ESMFold (HF)</t>
  </si>
  <si>
    <t xml:space="preserve">&lt;tool&gt;</t>
  </si>
  <si>
    <t xml:space="preserve">enum</t>
  </si>
  <si>
    <t xml:space="preserve">boltz predict</t>
  </si>
  <si>
    <t xml:space="preserve">chai fold</t>
  </si>
  <si>
    <t xml:space="preserve">run_alphafold.py</t>
  </si>
  <si>
    <t xml:space="preserve">esm-fold-hf</t>
  </si>
  <si>
    <t xml:space="preserve">Required positional arg</t>
  </si>
  <si>
    <t xml:space="preserve">&lt;input&gt;</t>
  </si>
  <si>
    <t xml:space="preserve">file</t>
  </si>
  <si>
    <t xml:space="preserve">INPUT_PATH (.yaml)</t>
  </si>
  <si>
    <t xml:space="preserve">--fasta</t>
  </si>
  <si>
    <t xml:space="preserve">--fasta_paths</t>
  </si>
  <si>
    <t xml:space="preserve">-i (.fasta)</t>
  </si>
  <si>
    <t xml:space="preserve">FASTA common; Boltz needs YAML</t>
  </si>
  <si>
    <t xml:space="preserve">--output-dir, -o</t>
  </si>
  <si>
    <t xml:space="preserve">path</t>
  </si>
  <si>
    <t xml:space="preserve">--out_dir</t>
  </si>
  <si>
    <t xml:space="preserve">output_dir</t>
  </si>
  <si>
    <t xml:space="preserve">--output_dir</t>
  </si>
  <si>
    <t xml:space="preserve">-o</t>
  </si>
  <si>
    <t xml:space="preserve">Required</t>
  </si>
  <si>
    <t xml:space="preserve">--num-samples, -n</t>
  </si>
  <si>
    <t xml:space="preserve">int</t>
  </si>
  <si>
    <t xml:space="preserve">--diffusion_samples (def:1)</t>
  </si>
  <si>
    <t xml:space="preserve">--num-diffn-samples (def:5)</t>
  </si>
  <si>
    <t xml:space="preserve">--num_multimer_... (def:5)</t>
  </si>
  <si>
    <t xml:space="preserve">N/A (deterministic)</t>
  </si>
  <si>
    <t xml:space="preserve">Ignored for ESMFold</t>
  </si>
  <si>
    <t xml:space="preserve">--num-recycles</t>
  </si>
  <si>
    <t xml:space="preserve">--recycling_steps (def:3)</t>
  </si>
  <si>
    <t xml:space="preserve">--num-trunk-recycles (def:3)</t>
  </si>
  <si>
    <t xml:space="preserve">implicit (def:3)</t>
  </si>
  <si>
    <t xml:space="preserve">--num-recycles (def:4)</t>
  </si>
  <si>
    <t xml:space="preserve">None = use tool default</t>
  </si>
  <si>
    <t xml:space="preserve">--sampling-steps</t>
  </si>
  <si>
    <t xml:space="preserve">--sampling_steps (def:200)</t>
  </si>
  <si>
    <t xml:space="preserve">--num-diffn-timesteps (def:200)</t>
  </si>
  <si>
    <t xml:space="preserve">N/A</t>
  </si>
  <si>
    <t xml:space="preserve">Only diffusion-based tools</t>
  </si>
  <si>
    <t xml:space="preserve">--seed</t>
  </si>
  <si>
    <t xml:space="preserve">N/A (not exposed)</t>
  </si>
  <si>
    <t xml:space="preserve">--random_seed</t>
  </si>
  <si>
    <t xml:space="preserve">--device</t>
  </si>
  <si>
    <t xml:space="preserve">string</t>
  </si>
  <si>
    <t xml:space="preserve">--accelerator (gpu/cpu)</t>
  </si>
  <si>
    <t xml:space="preserve">--device (cuda:N)</t>
  </si>
  <si>
    <t xml:space="preserve">implicit</t>
  </si>
  <si>
    <t xml:space="preserve">--cpu-only (flag)</t>
  </si>
  <si>
    <t xml:space="preserve">auto = detect GPU</t>
  </si>
  <si>
    <t xml:space="preserve">--output-format</t>
  </si>
  <si>
    <t xml:space="preserve">--output_format + convert</t>
  </si>
  <si>
    <t xml:space="preserve">convert from cif</t>
  </si>
  <si>
    <t xml:space="preserve">native pdb</t>
  </si>
  <si>
    <t xml:space="preserve">Always produce both PDB+CIF</t>
  </si>
  <si>
    <t xml:space="preserve">--msa</t>
  </si>
  <si>
    <t xml:space="preserve">file/dir</t>
  </si>
  <si>
    <t xml:space="preserve">inject into YAML msa: field</t>
  </si>
  <si>
    <t xml:space="preserve">--msa-file (after a3m→pqt)</t>
  </si>
  <si>
    <t xml:space="preserve">--msa_dir (precomputed)</t>
  </si>
  <si>
    <t xml:space="preserve">ignored</t>
  </si>
  <si>
    <t xml:space="preserve">A3M is lingua franca</t>
  </si>
  <si>
    <t xml:space="preserve">--use-msa-server</t>
  </si>
  <si>
    <t xml:space="preserve">flag</t>
  </si>
  <si>
    <t xml:space="preserve">--use_msa_server</t>
  </si>
  <si>
    <t xml:space="preserve">--no-msa</t>
  </si>
  <si>
    <t xml:space="preserve">omit msa field in YAML</t>
  </si>
  <si>
    <t xml:space="preserve">omit msa arg</t>
  </si>
  <si>
    <t xml:space="preserve">single-seq A3M</t>
  </si>
  <si>
    <t xml:space="preserve">always no-MSA</t>
  </si>
  <si>
    <t xml:space="preserve">--boltz-*</t>
  </si>
  <si>
    <t xml:space="preserve">pass</t>
  </si>
  <si>
    <t xml:space="preserve">Direct pass-through</t>
  </si>
  <si>
    <t xml:space="preserve">e.g. --boltz-use-potentials</t>
  </si>
  <si>
    <t xml:space="preserve">--chai-*</t>
  </si>
  <si>
    <t xml:space="preserve">e.g. --chai-constraint-path</t>
  </si>
  <si>
    <t xml:space="preserve">--af2-*</t>
  </si>
  <si>
    <t xml:space="preserve">e.g. --af2-model-preset</t>
  </si>
  <si>
    <t xml:space="preserve">--esm-*</t>
  </si>
  <si>
    <t xml:space="preserve">e.g. --esm-chunk-size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</si>
</sst>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2"/>
      <color rgb="FF1E293B"/>
      <name val="Arial"/>
      <family val="0"/>
      <charset val="1"/>
    </font>
    <font>
      <b val="true"/>
      <sz val="10"/>
      <color rgb="FF1E293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2027"/>
        <bgColor rgb="FF1E293B"/>
      </patternFill>
    </fill>
    <fill>
      <patternFill patternType="solid">
        <fgColor rgb="FF2C5364"/>
        <bgColor rgb="FF003366"/>
      </patternFill>
    </fill>
    <fill>
      <patternFill patternType="solid">
        <fgColor rgb="FFFEE2E2"/>
        <bgColor rgb="FFFEF3C7"/>
      </patternFill>
    </fill>
    <fill>
      <patternFill patternType="solid">
        <fgColor rgb="FFE2E8F0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2027"/>
          <bgColor rgb="FF000000"/>
        </patternFill>
      </fill>
    </dxf>
    <dxf>
      <fill>
        <patternFill patternType="solid">
          <fgColor rgb="FF2C53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666699"/>
      <rgbColor rgb="FF94A3B8"/>
      <rgbColor rgb="FF003366"/>
      <rgbColor rgb="FF10B981"/>
      <rgbColor rgb="FF0F2027"/>
      <rgbColor rgb="FF333300"/>
      <rgbColor rgb="FF993300"/>
      <rgbColor rgb="FF993366"/>
      <rgbColor rgb="FF2C5364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364"/>
    <pageSetUpPr fitToPage="false"/>
  </sheetPr>
  <dimension ref="A1:L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45"/>
    <col collapsed="false" customWidth="true" hidden="false" outlineLevel="0" max="6" min="5" style="1" width="10"/>
    <col collapsed="false" customWidth="true" hidden="false" outlineLevel="0" max="8" min="7" style="1" width="12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2" min="11" style="1" width="30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4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27.75" hidden="false" customHeight="true" outlineLevel="0" collapsed="false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39.75" hidden="false" customHeight="true" outlineLevel="0" collapsed="false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7" t="s">
        <v>20</v>
      </c>
      <c r="G5" s="8" t="s">
        <v>21</v>
      </c>
      <c r="H5" s="6" t="s">
        <v>22</v>
      </c>
      <c r="I5" s="6" t="n">
        <v>1</v>
      </c>
      <c r="J5" s="6" t="s">
        <v>23</v>
      </c>
      <c r="K5" s="6" t="s">
        <v>24</v>
      </c>
      <c r="L5" s="6" t="s">
        <v>25</v>
      </c>
    </row>
    <row r="6" customFormat="false" ht="39.75" hidden="false" customHeight="true" outlineLevel="0" collapsed="false">
      <c r="A6" s="6" t="s">
        <v>26</v>
      </c>
      <c r="B6" s="6" t="s">
        <v>16</v>
      </c>
      <c r="C6" s="6" t="s">
        <v>27</v>
      </c>
      <c r="D6" s="6" t="s">
        <v>28</v>
      </c>
      <c r="E6" s="6" t="s">
        <v>19</v>
      </c>
      <c r="F6" s="7" t="s">
        <v>20</v>
      </c>
      <c r="G6" s="8" t="s">
        <v>21</v>
      </c>
      <c r="H6" s="6" t="s">
        <v>22</v>
      </c>
      <c r="I6" s="6" t="n">
        <v>0.5</v>
      </c>
      <c r="J6" s="6" t="s">
        <v>23</v>
      </c>
      <c r="K6" s="6" t="s">
        <v>29</v>
      </c>
      <c r="L6" s="6" t="s">
        <v>30</v>
      </c>
    </row>
    <row r="7" customFormat="false" ht="39.75" hidden="false" customHeight="true" outlineLevel="0" collapsed="false">
      <c r="A7" s="6" t="s">
        <v>31</v>
      </c>
      <c r="B7" s="6" t="s">
        <v>16</v>
      </c>
      <c r="C7" s="6" t="s">
        <v>32</v>
      </c>
      <c r="D7" s="6" t="s">
        <v>33</v>
      </c>
      <c r="E7" s="6" t="s">
        <v>19</v>
      </c>
      <c r="F7" s="9" t="s">
        <v>34</v>
      </c>
      <c r="G7" s="8" t="s">
        <v>21</v>
      </c>
      <c r="H7" s="6" t="s">
        <v>22</v>
      </c>
      <c r="I7" s="6" t="n">
        <v>1</v>
      </c>
      <c r="J7" s="6" t="s">
        <v>23</v>
      </c>
      <c r="K7" s="6" t="s">
        <v>35</v>
      </c>
      <c r="L7" s="6"/>
    </row>
    <row r="8" customFormat="false" ht="39.75" hidden="false" customHeight="true" outlineLevel="0" collapsed="false">
      <c r="A8" s="6" t="s">
        <v>36</v>
      </c>
      <c r="B8" s="6" t="s">
        <v>16</v>
      </c>
      <c r="C8" s="6" t="s">
        <v>37</v>
      </c>
      <c r="D8" s="6" t="s">
        <v>38</v>
      </c>
      <c r="E8" s="6" t="s">
        <v>19</v>
      </c>
      <c r="F8" s="9" t="s">
        <v>34</v>
      </c>
      <c r="G8" s="8" t="s">
        <v>21</v>
      </c>
      <c r="H8" s="6" t="s">
        <v>22</v>
      </c>
      <c r="I8" s="6" t="n">
        <v>0.5</v>
      </c>
      <c r="J8" s="6" t="s">
        <v>23</v>
      </c>
      <c r="K8" s="6" t="s">
        <v>39</v>
      </c>
      <c r="L8" s="6"/>
    </row>
    <row r="9" customFormat="false" ht="39.75" hidden="false" customHeight="true" outlineLevel="0" collapsed="false">
      <c r="A9" s="6" t="s">
        <v>40</v>
      </c>
      <c r="B9" s="6" t="s">
        <v>16</v>
      </c>
      <c r="C9" s="6" t="s">
        <v>41</v>
      </c>
      <c r="D9" s="6" t="s">
        <v>42</v>
      </c>
      <c r="E9" s="6" t="s">
        <v>19</v>
      </c>
      <c r="F9" s="10" t="s">
        <v>43</v>
      </c>
      <c r="G9" s="8" t="s">
        <v>21</v>
      </c>
      <c r="H9" s="6" t="s">
        <v>22</v>
      </c>
      <c r="I9" s="6" t="n">
        <v>1</v>
      </c>
      <c r="J9" s="6" t="s">
        <v>23</v>
      </c>
      <c r="K9" s="6" t="s">
        <v>13</v>
      </c>
      <c r="L9" s="6" t="s">
        <v>44</v>
      </c>
    </row>
    <row r="10" customFormat="false" ht="27.75" hidden="false" customHeight="true" outlineLevel="0" collapsed="false">
      <c r="A10" s="5" t="s">
        <v>45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39.75" hidden="false" customHeight="true" outlineLevel="0" collapsed="false">
      <c r="A11" s="6" t="s">
        <v>46</v>
      </c>
      <c r="B11" s="6" t="s">
        <v>47</v>
      </c>
      <c r="C11" s="6" t="s">
        <v>48</v>
      </c>
      <c r="D11" s="6" t="s">
        <v>49</v>
      </c>
      <c r="E11" s="6" t="s">
        <v>19</v>
      </c>
      <c r="F11" s="7" t="s">
        <v>20</v>
      </c>
      <c r="G11" s="8" t="s">
        <v>21</v>
      </c>
      <c r="H11" s="6" t="s">
        <v>22</v>
      </c>
      <c r="I11" s="6" t="n">
        <v>3</v>
      </c>
      <c r="J11" s="6" t="s">
        <v>23</v>
      </c>
      <c r="K11" s="6" t="s">
        <v>50</v>
      </c>
      <c r="L11" s="6"/>
    </row>
    <row r="12" customFormat="false" ht="39.75" hidden="false" customHeight="true" outlineLevel="0" collapsed="false">
      <c r="A12" s="6" t="s">
        <v>51</v>
      </c>
      <c r="B12" s="6" t="s">
        <v>47</v>
      </c>
      <c r="C12" s="6" t="s">
        <v>52</v>
      </c>
      <c r="D12" s="6" t="s">
        <v>53</v>
      </c>
      <c r="E12" s="6" t="s">
        <v>19</v>
      </c>
      <c r="F12" s="7" t="s">
        <v>20</v>
      </c>
      <c r="G12" s="8" t="s">
        <v>21</v>
      </c>
      <c r="H12" s="6" t="s">
        <v>46</v>
      </c>
      <c r="I12" s="6" t="n">
        <v>4</v>
      </c>
      <c r="J12" s="6" t="s">
        <v>54</v>
      </c>
      <c r="K12" s="6" t="s">
        <v>55</v>
      </c>
      <c r="L12" s="6" t="s">
        <v>56</v>
      </c>
    </row>
    <row r="13" customFormat="false" ht="39.75" hidden="false" customHeight="true" outlineLevel="0" collapsed="false">
      <c r="A13" s="6" t="s">
        <v>57</v>
      </c>
      <c r="B13" s="6" t="s">
        <v>47</v>
      </c>
      <c r="C13" s="6" t="s">
        <v>58</v>
      </c>
      <c r="D13" s="6" t="s">
        <v>59</v>
      </c>
      <c r="E13" s="6" t="s">
        <v>19</v>
      </c>
      <c r="F13" s="7" t="s">
        <v>20</v>
      </c>
      <c r="G13" s="8" t="s">
        <v>21</v>
      </c>
      <c r="H13" s="6" t="s">
        <v>46</v>
      </c>
      <c r="I13" s="6" t="n">
        <v>3</v>
      </c>
      <c r="J13" s="6" t="s">
        <v>60</v>
      </c>
      <c r="K13" s="6" t="s">
        <v>61</v>
      </c>
      <c r="L13" s="6" t="s">
        <v>62</v>
      </c>
    </row>
    <row r="14" customFormat="false" ht="39.75" hidden="false" customHeight="true" outlineLevel="0" collapsed="false">
      <c r="A14" s="6" t="s">
        <v>63</v>
      </c>
      <c r="B14" s="6" t="s">
        <v>47</v>
      </c>
      <c r="C14" s="6" t="s">
        <v>64</v>
      </c>
      <c r="D14" s="6" t="s">
        <v>65</v>
      </c>
      <c r="E14" s="6" t="s">
        <v>19</v>
      </c>
      <c r="F14" s="9" t="s">
        <v>34</v>
      </c>
      <c r="G14" s="8" t="s">
        <v>21</v>
      </c>
      <c r="H14" s="6" t="s">
        <v>46</v>
      </c>
      <c r="I14" s="6" t="n">
        <v>4</v>
      </c>
      <c r="J14" s="6" t="s">
        <v>66</v>
      </c>
      <c r="K14" s="6" t="s">
        <v>67</v>
      </c>
      <c r="L14" s="6" t="s">
        <v>68</v>
      </c>
    </row>
    <row r="15" customFormat="false" ht="39.75" hidden="false" customHeight="true" outlineLevel="0" collapsed="false">
      <c r="A15" s="6" t="s">
        <v>69</v>
      </c>
      <c r="B15" s="6" t="s">
        <v>47</v>
      </c>
      <c r="C15" s="6" t="s">
        <v>70</v>
      </c>
      <c r="D15" s="6" t="s">
        <v>71</v>
      </c>
      <c r="E15" s="6" t="s">
        <v>19</v>
      </c>
      <c r="F15" s="9" t="s">
        <v>34</v>
      </c>
      <c r="G15" s="8" t="s">
        <v>21</v>
      </c>
      <c r="H15" s="6" t="s">
        <v>46</v>
      </c>
      <c r="I15" s="6" t="n">
        <v>4</v>
      </c>
      <c r="J15" s="6" t="s">
        <v>72</v>
      </c>
      <c r="K15" s="6" t="s">
        <v>73</v>
      </c>
      <c r="L15" s="6" t="s">
        <v>74</v>
      </c>
    </row>
    <row r="16" customFormat="false" ht="39.75" hidden="false" customHeight="true" outlineLevel="0" collapsed="false">
      <c r="A16" s="6" t="s">
        <v>75</v>
      </c>
      <c r="B16" s="6" t="s">
        <v>47</v>
      </c>
      <c r="C16" s="6" t="s">
        <v>76</v>
      </c>
      <c r="D16" s="6" t="s">
        <v>77</v>
      </c>
      <c r="E16" s="6" t="s">
        <v>19</v>
      </c>
      <c r="F16" s="7" t="s">
        <v>20</v>
      </c>
      <c r="G16" s="8" t="s">
        <v>21</v>
      </c>
      <c r="H16" s="6" t="s">
        <v>78</v>
      </c>
      <c r="I16" s="6" t="n">
        <v>3</v>
      </c>
      <c r="J16" s="6" t="s">
        <v>60</v>
      </c>
      <c r="K16" s="6" t="s">
        <v>79</v>
      </c>
      <c r="L16" s="6"/>
    </row>
    <row r="17" customFormat="false" ht="39.75" hidden="false" customHeight="true" outlineLevel="0" collapsed="false">
      <c r="A17" s="6" t="s">
        <v>80</v>
      </c>
      <c r="B17" s="6" t="s">
        <v>47</v>
      </c>
      <c r="C17" s="6" t="s">
        <v>81</v>
      </c>
      <c r="D17" s="6" t="s">
        <v>82</v>
      </c>
      <c r="E17" s="6" t="s">
        <v>19</v>
      </c>
      <c r="F17" s="9" t="s">
        <v>34</v>
      </c>
      <c r="G17" s="8" t="s">
        <v>21</v>
      </c>
      <c r="H17" s="6" t="s">
        <v>46</v>
      </c>
      <c r="I17" s="6" t="n">
        <v>3</v>
      </c>
      <c r="J17" s="6" t="s">
        <v>66</v>
      </c>
      <c r="K17" s="6" t="s">
        <v>83</v>
      </c>
      <c r="L17" s="6" t="s">
        <v>84</v>
      </c>
    </row>
    <row r="18" customFormat="false" ht="39.75" hidden="false" customHeight="true" outlineLevel="0" collapsed="false">
      <c r="A18" s="6" t="s">
        <v>85</v>
      </c>
      <c r="B18" s="6" t="s">
        <v>47</v>
      </c>
      <c r="C18" s="6" t="s">
        <v>86</v>
      </c>
      <c r="D18" s="6" t="s">
        <v>87</v>
      </c>
      <c r="E18" s="6" t="s">
        <v>19</v>
      </c>
      <c r="F18" s="9" t="s">
        <v>34</v>
      </c>
      <c r="G18" s="8" t="s">
        <v>21</v>
      </c>
      <c r="H18" s="6" t="s">
        <v>46</v>
      </c>
      <c r="I18" s="6" t="n">
        <v>3</v>
      </c>
      <c r="J18" s="6" t="s">
        <v>72</v>
      </c>
      <c r="K18" s="6" t="s">
        <v>88</v>
      </c>
      <c r="L18" s="6" t="s">
        <v>89</v>
      </c>
    </row>
    <row r="19" customFormat="false" ht="39.75" hidden="false" customHeight="true" outlineLevel="0" collapsed="false">
      <c r="A19" s="6" t="s">
        <v>90</v>
      </c>
      <c r="B19" s="6" t="s">
        <v>47</v>
      </c>
      <c r="C19" s="6" t="s">
        <v>91</v>
      </c>
      <c r="D19" s="6" t="s">
        <v>92</v>
      </c>
      <c r="E19" s="6" t="s">
        <v>19</v>
      </c>
      <c r="F19" s="9" t="s">
        <v>34</v>
      </c>
      <c r="G19" s="8" t="s">
        <v>21</v>
      </c>
      <c r="H19" s="6" t="s">
        <v>75</v>
      </c>
      <c r="I19" s="6" t="n">
        <v>2</v>
      </c>
      <c r="J19" s="6" t="s">
        <v>72</v>
      </c>
      <c r="K19" s="6" t="s">
        <v>93</v>
      </c>
      <c r="L19" s="6"/>
    </row>
    <row r="20" customFormat="false" ht="39.75" hidden="false" customHeight="true" outlineLevel="0" collapsed="false">
      <c r="A20" s="6" t="s">
        <v>94</v>
      </c>
      <c r="B20" s="6" t="s">
        <v>47</v>
      </c>
      <c r="C20" s="6" t="s">
        <v>95</v>
      </c>
      <c r="D20" s="6" t="s">
        <v>96</v>
      </c>
      <c r="E20" s="6" t="s">
        <v>19</v>
      </c>
      <c r="F20" s="9" t="s">
        <v>34</v>
      </c>
      <c r="G20" s="8" t="s">
        <v>21</v>
      </c>
      <c r="H20" s="6" t="s">
        <v>97</v>
      </c>
      <c r="I20" s="6" t="n">
        <v>4</v>
      </c>
      <c r="J20" s="6" t="s">
        <v>98</v>
      </c>
      <c r="K20" s="6" t="s">
        <v>99</v>
      </c>
      <c r="L20" s="6"/>
    </row>
    <row r="21" customFormat="false" ht="39.75" hidden="false" customHeight="true" outlineLevel="0" collapsed="false">
      <c r="A21" s="6" t="s">
        <v>100</v>
      </c>
      <c r="B21" s="6" t="s">
        <v>47</v>
      </c>
      <c r="C21" s="6" t="s">
        <v>101</v>
      </c>
      <c r="D21" s="6" t="s">
        <v>102</v>
      </c>
      <c r="E21" s="6" t="s">
        <v>19</v>
      </c>
      <c r="F21" s="9" t="s">
        <v>34</v>
      </c>
      <c r="G21" s="8" t="s">
        <v>21</v>
      </c>
      <c r="H21" s="6" t="s">
        <v>103</v>
      </c>
      <c r="I21" s="6" t="n">
        <v>3</v>
      </c>
      <c r="J21" s="6" t="s">
        <v>104</v>
      </c>
      <c r="K21" s="6" t="s">
        <v>105</v>
      </c>
      <c r="L21" s="6" t="s">
        <v>106</v>
      </c>
    </row>
    <row r="22" customFormat="false" ht="39.75" hidden="false" customHeight="true" outlineLevel="0" collapsed="false">
      <c r="A22" s="6" t="s">
        <v>107</v>
      </c>
      <c r="B22" s="6" t="s">
        <v>47</v>
      </c>
      <c r="C22" s="6" t="s">
        <v>108</v>
      </c>
      <c r="D22" s="6" t="s">
        <v>109</v>
      </c>
      <c r="E22" s="6" t="s">
        <v>19</v>
      </c>
      <c r="F22" s="10" t="s">
        <v>43</v>
      </c>
      <c r="G22" s="8" t="s">
        <v>21</v>
      </c>
      <c r="H22" s="6" t="s">
        <v>22</v>
      </c>
      <c r="I22" s="6" t="n">
        <v>2</v>
      </c>
      <c r="J22" s="6" t="s">
        <v>23</v>
      </c>
      <c r="K22" s="6" t="s">
        <v>110</v>
      </c>
      <c r="L22" s="6" t="s">
        <v>111</v>
      </c>
    </row>
    <row r="23" customFormat="false" ht="27.75" hidden="false" customHeight="true" outlineLevel="0" collapsed="false">
      <c r="A23" s="5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39.75" hidden="false" customHeight="true" outlineLevel="0" collapsed="false">
      <c r="A24" s="6" t="s">
        <v>113</v>
      </c>
      <c r="B24" s="6" t="s">
        <v>114</v>
      </c>
      <c r="C24" s="6" t="s">
        <v>115</v>
      </c>
      <c r="D24" s="6" t="s">
        <v>116</v>
      </c>
      <c r="E24" s="6" t="s">
        <v>19</v>
      </c>
      <c r="F24" s="7" t="s">
        <v>20</v>
      </c>
      <c r="G24" s="8" t="s">
        <v>21</v>
      </c>
      <c r="H24" s="6" t="s">
        <v>22</v>
      </c>
      <c r="I24" s="6" t="n">
        <v>2</v>
      </c>
      <c r="J24" s="6" t="s">
        <v>72</v>
      </c>
      <c r="K24" s="6" t="s">
        <v>13</v>
      </c>
      <c r="L24" s="6"/>
    </row>
    <row r="25" customFormat="false" ht="39.75" hidden="false" customHeight="true" outlineLevel="0" collapsed="false">
      <c r="A25" s="6" t="s">
        <v>117</v>
      </c>
      <c r="B25" s="6" t="s">
        <v>114</v>
      </c>
      <c r="C25" s="6" t="s">
        <v>118</v>
      </c>
      <c r="D25" s="6" t="s">
        <v>119</v>
      </c>
      <c r="E25" s="6" t="s">
        <v>19</v>
      </c>
      <c r="F25" s="7" t="s">
        <v>20</v>
      </c>
      <c r="G25" s="8" t="s">
        <v>21</v>
      </c>
      <c r="H25" s="6" t="s">
        <v>113</v>
      </c>
      <c r="I25" s="6" t="n">
        <v>3</v>
      </c>
      <c r="J25" s="6" t="s">
        <v>98</v>
      </c>
      <c r="K25" s="6" t="s">
        <v>120</v>
      </c>
      <c r="L25" s="6"/>
    </row>
    <row r="26" customFormat="false" ht="39.75" hidden="false" customHeight="true" outlineLevel="0" collapsed="false">
      <c r="A26" s="6" t="s">
        <v>121</v>
      </c>
      <c r="B26" s="6" t="s">
        <v>114</v>
      </c>
      <c r="C26" s="6" t="s">
        <v>122</v>
      </c>
      <c r="D26" s="6" t="s">
        <v>123</v>
      </c>
      <c r="E26" s="6" t="s">
        <v>19</v>
      </c>
      <c r="F26" s="7" t="s">
        <v>20</v>
      </c>
      <c r="G26" s="8" t="s">
        <v>21</v>
      </c>
      <c r="H26" s="6" t="s">
        <v>117</v>
      </c>
      <c r="I26" s="6" t="n">
        <v>2</v>
      </c>
      <c r="J26" s="6" t="s">
        <v>104</v>
      </c>
      <c r="K26" s="6" t="s">
        <v>124</v>
      </c>
      <c r="L26" s="6" t="s">
        <v>125</v>
      </c>
    </row>
    <row r="27" customFormat="false" ht="39.75" hidden="false" customHeight="true" outlineLevel="0" collapsed="false">
      <c r="A27" s="6" t="s">
        <v>126</v>
      </c>
      <c r="B27" s="6" t="s">
        <v>114</v>
      </c>
      <c r="C27" s="6" t="s">
        <v>127</v>
      </c>
      <c r="D27" s="6" t="s">
        <v>128</v>
      </c>
      <c r="E27" s="6" t="s">
        <v>19</v>
      </c>
      <c r="F27" s="9" t="s">
        <v>34</v>
      </c>
      <c r="G27" s="8" t="s">
        <v>21</v>
      </c>
      <c r="H27" s="6" t="s">
        <v>121</v>
      </c>
      <c r="I27" s="6" t="n">
        <v>2</v>
      </c>
      <c r="J27" s="6" t="s">
        <v>104</v>
      </c>
      <c r="K27" s="6" t="s">
        <v>129</v>
      </c>
      <c r="L27" s="6" t="s">
        <v>130</v>
      </c>
    </row>
    <row r="28" customFormat="false" ht="39.75" hidden="false" customHeight="true" outlineLevel="0" collapsed="false">
      <c r="A28" s="6" t="s">
        <v>131</v>
      </c>
      <c r="B28" s="6" t="s">
        <v>114</v>
      </c>
      <c r="C28" s="6" t="s">
        <v>132</v>
      </c>
      <c r="D28" s="6" t="s">
        <v>133</v>
      </c>
      <c r="E28" s="6" t="s">
        <v>19</v>
      </c>
      <c r="F28" s="7" t="s">
        <v>20</v>
      </c>
      <c r="G28" s="8" t="s">
        <v>21</v>
      </c>
      <c r="H28" s="6" t="s">
        <v>121</v>
      </c>
      <c r="I28" s="6" t="n">
        <v>4</v>
      </c>
      <c r="J28" s="6" t="s">
        <v>134</v>
      </c>
      <c r="K28" s="6" t="s">
        <v>135</v>
      </c>
      <c r="L28" s="6" t="s">
        <v>136</v>
      </c>
    </row>
    <row r="29" customFormat="false" ht="39.75" hidden="false" customHeight="true" outlineLevel="0" collapsed="false">
      <c r="A29" s="6" t="s">
        <v>137</v>
      </c>
      <c r="B29" s="6" t="s">
        <v>114</v>
      </c>
      <c r="C29" s="6" t="s">
        <v>138</v>
      </c>
      <c r="D29" s="6" t="s">
        <v>139</v>
      </c>
      <c r="E29" s="6" t="s">
        <v>19</v>
      </c>
      <c r="F29" s="10" t="s">
        <v>43</v>
      </c>
      <c r="G29" s="8" t="s">
        <v>21</v>
      </c>
      <c r="H29" s="6" t="s">
        <v>131</v>
      </c>
      <c r="I29" s="6" t="n">
        <v>1</v>
      </c>
      <c r="J29" s="6" t="s">
        <v>140</v>
      </c>
      <c r="K29" s="6" t="s">
        <v>141</v>
      </c>
      <c r="L29" s="6"/>
    </row>
    <row r="30" customFormat="false" ht="39.75" hidden="false" customHeight="true" outlineLevel="0" collapsed="false">
      <c r="A30" s="6" t="s">
        <v>142</v>
      </c>
      <c r="B30" s="6" t="s">
        <v>114</v>
      </c>
      <c r="C30" s="6" t="s">
        <v>143</v>
      </c>
      <c r="D30" s="6" t="s">
        <v>144</v>
      </c>
      <c r="E30" s="6" t="s">
        <v>19</v>
      </c>
      <c r="F30" s="8" t="s">
        <v>145</v>
      </c>
      <c r="G30" s="8" t="s">
        <v>21</v>
      </c>
      <c r="H30" s="6" t="s">
        <v>131</v>
      </c>
      <c r="I30" s="6" t="n">
        <v>1</v>
      </c>
      <c r="J30" s="6" t="s">
        <v>140</v>
      </c>
      <c r="K30" s="6" t="s">
        <v>146</v>
      </c>
      <c r="L30" s="6"/>
    </row>
    <row r="31" customFormat="false" ht="27.75" hidden="false" customHeight="true" outlineLevel="0" collapsed="false">
      <c r="A31" s="5" t="s">
        <v>147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39.75" hidden="false" customHeight="true" outlineLevel="0" collapsed="false">
      <c r="A32" s="6" t="s">
        <v>148</v>
      </c>
      <c r="B32" s="6" t="s">
        <v>149</v>
      </c>
      <c r="C32" s="6" t="s">
        <v>150</v>
      </c>
      <c r="D32" s="6" t="s">
        <v>151</v>
      </c>
      <c r="E32" s="6" t="s">
        <v>19</v>
      </c>
      <c r="F32" s="9" t="s">
        <v>34</v>
      </c>
      <c r="G32" s="8" t="s">
        <v>21</v>
      </c>
      <c r="H32" s="6" t="s">
        <v>100</v>
      </c>
      <c r="I32" s="6" t="n">
        <v>3</v>
      </c>
      <c r="J32" s="6" t="s">
        <v>140</v>
      </c>
      <c r="K32" s="6" t="s">
        <v>152</v>
      </c>
      <c r="L32" s="6" t="s">
        <v>153</v>
      </c>
    </row>
    <row r="33" customFormat="false" ht="39.75" hidden="false" customHeight="true" outlineLevel="0" collapsed="false">
      <c r="A33" s="6" t="s">
        <v>154</v>
      </c>
      <c r="B33" s="6" t="s">
        <v>149</v>
      </c>
      <c r="C33" s="6" t="s">
        <v>155</v>
      </c>
      <c r="D33" s="6" t="s">
        <v>156</v>
      </c>
      <c r="E33" s="6" t="s">
        <v>19</v>
      </c>
      <c r="F33" s="9" t="s">
        <v>34</v>
      </c>
      <c r="G33" s="8" t="s">
        <v>21</v>
      </c>
      <c r="H33" s="6" t="s">
        <v>148</v>
      </c>
      <c r="I33" s="6" t="n">
        <v>3</v>
      </c>
      <c r="J33" s="6" t="s">
        <v>157</v>
      </c>
      <c r="K33" s="6" t="s">
        <v>158</v>
      </c>
      <c r="L33" s="6" t="s">
        <v>159</v>
      </c>
    </row>
    <row r="34" customFormat="false" ht="39.75" hidden="false" customHeight="true" outlineLevel="0" collapsed="false">
      <c r="A34" s="6" t="s">
        <v>160</v>
      </c>
      <c r="B34" s="6" t="s">
        <v>149</v>
      </c>
      <c r="C34" s="6" t="s">
        <v>161</v>
      </c>
      <c r="D34" s="6" t="s">
        <v>162</v>
      </c>
      <c r="E34" s="6" t="s">
        <v>19</v>
      </c>
      <c r="F34" s="10" t="s">
        <v>43</v>
      </c>
      <c r="G34" s="8" t="s">
        <v>21</v>
      </c>
      <c r="H34" s="6" t="s">
        <v>148</v>
      </c>
      <c r="I34" s="6" t="n">
        <v>3</v>
      </c>
      <c r="J34" s="6" t="s">
        <v>163</v>
      </c>
      <c r="K34" s="6" t="s">
        <v>164</v>
      </c>
      <c r="L34" s="6"/>
    </row>
    <row r="35" customFormat="false" ht="39.75" hidden="false" customHeight="true" outlineLevel="0" collapsed="false">
      <c r="A35" s="6" t="s">
        <v>165</v>
      </c>
      <c r="B35" s="6" t="s">
        <v>149</v>
      </c>
      <c r="C35" s="6" t="s">
        <v>166</v>
      </c>
      <c r="D35" s="6" t="s">
        <v>167</v>
      </c>
      <c r="E35" s="6" t="s">
        <v>19</v>
      </c>
      <c r="F35" s="10" t="s">
        <v>43</v>
      </c>
      <c r="G35" s="8" t="s">
        <v>21</v>
      </c>
      <c r="H35" s="6" t="s">
        <v>148</v>
      </c>
      <c r="I35" s="6" t="n">
        <v>2</v>
      </c>
      <c r="J35" s="6" t="s">
        <v>168</v>
      </c>
      <c r="K35" s="6" t="s">
        <v>169</v>
      </c>
      <c r="L35" s="6"/>
    </row>
    <row r="36" customFormat="false" ht="39.75" hidden="false" customHeight="true" outlineLevel="0" collapsed="false">
      <c r="A36" s="6" t="s">
        <v>170</v>
      </c>
      <c r="B36" s="6" t="s">
        <v>149</v>
      </c>
      <c r="C36" s="6" t="s">
        <v>171</v>
      </c>
      <c r="D36" s="6" t="s">
        <v>172</v>
      </c>
      <c r="E36" s="6" t="s">
        <v>19</v>
      </c>
      <c r="F36" s="9" t="s">
        <v>34</v>
      </c>
      <c r="G36" s="8" t="s">
        <v>21</v>
      </c>
      <c r="H36" s="6" t="s">
        <v>173</v>
      </c>
      <c r="I36" s="6" t="n">
        <v>2</v>
      </c>
      <c r="J36" s="6" t="s">
        <v>174</v>
      </c>
      <c r="K36" s="6" t="s">
        <v>175</v>
      </c>
      <c r="L36" s="6"/>
    </row>
    <row r="37" customFormat="false" ht="27.75" hidden="false" customHeight="true" outlineLevel="0" collapsed="false">
      <c r="A37" s="5" t="s">
        <v>176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39.75" hidden="false" customHeight="true" outlineLevel="0" collapsed="false">
      <c r="A38" s="6" t="s">
        <v>177</v>
      </c>
      <c r="B38" s="6" t="s">
        <v>178</v>
      </c>
      <c r="C38" s="6" t="s">
        <v>179</v>
      </c>
      <c r="D38" s="6" t="s">
        <v>180</v>
      </c>
      <c r="E38" s="6" t="s">
        <v>19</v>
      </c>
      <c r="F38" s="7" t="s">
        <v>20</v>
      </c>
      <c r="G38" s="8" t="s">
        <v>21</v>
      </c>
      <c r="H38" s="6" t="s">
        <v>22</v>
      </c>
      <c r="I38" s="6" t="n">
        <v>3</v>
      </c>
      <c r="J38" s="6" t="s">
        <v>174</v>
      </c>
      <c r="K38" s="6" t="s">
        <v>181</v>
      </c>
      <c r="L38" s="6" t="s">
        <v>182</v>
      </c>
    </row>
    <row r="39" customFormat="false" ht="39.75" hidden="false" customHeight="true" outlineLevel="0" collapsed="false">
      <c r="A39" s="6" t="s">
        <v>183</v>
      </c>
      <c r="B39" s="6" t="s">
        <v>178</v>
      </c>
      <c r="C39" s="6" t="s">
        <v>184</v>
      </c>
      <c r="D39" s="6" t="s">
        <v>185</v>
      </c>
      <c r="E39" s="6" t="s">
        <v>19</v>
      </c>
      <c r="F39" s="7" t="s">
        <v>20</v>
      </c>
      <c r="G39" s="8" t="s">
        <v>21</v>
      </c>
      <c r="H39" s="6" t="s">
        <v>177</v>
      </c>
      <c r="I39" s="6" t="n">
        <v>6</v>
      </c>
      <c r="J39" s="6" t="s">
        <v>186</v>
      </c>
      <c r="K39" s="6" t="s">
        <v>187</v>
      </c>
      <c r="L39" s="6" t="s">
        <v>188</v>
      </c>
    </row>
    <row r="40" customFormat="false" ht="39.75" hidden="false" customHeight="true" outlineLevel="0" collapsed="false">
      <c r="A40" s="6" t="s">
        <v>189</v>
      </c>
      <c r="B40" s="6" t="s">
        <v>178</v>
      </c>
      <c r="C40" s="6" t="s">
        <v>190</v>
      </c>
      <c r="D40" s="6" t="s">
        <v>191</v>
      </c>
      <c r="E40" s="6" t="s">
        <v>19</v>
      </c>
      <c r="F40" s="9" t="s">
        <v>34</v>
      </c>
      <c r="G40" s="8" t="s">
        <v>21</v>
      </c>
      <c r="H40" s="6" t="s">
        <v>183</v>
      </c>
      <c r="I40" s="6" t="n">
        <v>2</v>
      </c>
      <c r="J40" s="6" t="s">
        <v>192</v>
      </c>
      <c r="K40" s="6" t="s">
        <v>193</v>
      </c>
      <c r="L40" s="6" t="s">
        <v>194</v>
      </c>
    </row>
    <row r="41" customFormat="false" ht="39.75" hidden="false" customHeight="true" outlineLevel="0" collapsed="false">
      <c r="A41" s="6" t="s">
        <v>195</v>
      </c>
      <c r="B41" s="6" t="s">
        <v>178</v>
      </c>
      <c r="C41" s="6" t="s">
        <v>196</v>
      </c>
      <c r="D41" s="6" t="s">
        <v>197</v>
      </c>
      <c r="E41" s="6" t="s">
        <v>19</v>
      </c>
      <c r="F41" s="9" t="s">
        <v>34</v>
      </c>
      <c r="G41" s="8" t="s">
        <v>21</v>
      </c>
      <c r="H41" s="6" t="s">
        <v>183</v>
      </c>
      <c r="I41" s="6" t="n">
        <v>2</v>
      </c>
      <c r="J41" s="6" t="s">
        <v>192</v>
      </c>
      <c r="K41" s="6" t="s">
        <v>193</v>
      </c>
      <c r="L41" s="6" t="s">
        <v>198</v>
      </c>
    </row>
    <row r="42" customFormat="false" ht="39.75" hidden="false" customHeight="true" outlineLevel="0" collapsed="false">
      <c r="A42" s="6" t="s">
        <v>199</v>
      </c>
      <c r="B42" s="6" t="s">
        <v>178</v>
      </c>
      <c r="C42" s="6" t="s">
        <v>200</v>
      </c>
      <c r="D42" s="6" t="s">
        <v>201</v>
      </c>
      <c r="E42" s="6" t="s">
        <v>19</v>
      </c>
      <c r="F42" s="9" t="s">
        <v>34</v>
      </c>
      <c r="G42" s="8" t="s">
        <v>21</v>
      </c>
      <c r="H42" s="6" t="s">
        <v>183</v>
      </c>
      <c r="I42" s="6" t="n">
        <v>2</v>
      </c>
      <c r="J42" s="6" t="s">
        <v>192</v>
      </c>
      <c r="K42" s="6" t="s">
        <v>193</v>
      </c>
      <c r="L42" s="6" t="s">
        <v>202</v>
      </c>
    </row>
    <row r="43" customFormat="false" ht="39.75" hidden="false" customHeight="true" outlineLevel="0" collapsed="false">
      <c r="A43" s="6" t="s">
        <v>203</v>
      </c>
      <c r="B43" s="6" t="s">
        <v>178</v>
      </c>
      <c r="C43" s="6" t="s">
        <v>204</v>
      </c>
      <c r="D43" s="6" t="s">
        <v>205</v>
      </c>
      <c r="E43" s="6" t="s">
        <v>19</v>
      </c>
      <c r="F43" s="9" t="s">
        <v>34</v>
      </c>
      <c r="G43" s="8" t="s">
        <v>21</v>
      </c>
      <c r="H43" s="6" t="s">
        <v>183</v>
      </c>
      <c r="I43" s="6" t="n">
        <v>4</v>
      </c>
      <c r="J43" s="6" t="s">
        <v>206</v>
      </c>
      <c r="K43" s="6" t="s">
        <v>207</v>
      </c>
      <c r="L43" s="6" t="s">
        <v>208</v>
      </c>
    </row>
    <row r="44" customFormat="false" ht="39.75" hidden="false" customHeight="true" outlineLevel="0" collapsed="false">
      <c r="A44" s="6" t="s">
        <v>209</v>
      </c>
      <c r="B44" s="6" t="s">
        <v>178</v>
      </c>
      <c r="C44" s="6" t="s">
        <v>210</v>
      </c>
      <c r="D44" s="6" t="s">
        <v>211</v>
      </c>
      <c r="E44" s="6" t="s">
        <v>19</v>
      </c>
      <c r="F44" s="10" t="s">
        <v>43</v>
      </c>
      <c r="G44" s="8" t="s">
        <v>21</v>
      </c>
      <c r="H44" s="6" t="s">
        <v>203</v>
      </c>
      <c r="I44" s="6" t="n">
        <v>2</v>
      </c>
      <c r="J44" s="6" t="s">
        <v>212</v>
      </c>
      <c r="K44" s="6" t="s">
        <v>213</v>
      </c>
      <c r="L44" s="6" t="s">
        <v>214</v>
      </c>
    </row>
    <row r="45" customFormat="false" ht="39.75" hidden="false" customHeight="true" outlineLevel="0" collapsed="false">
      <c r="A45" s="6" t="s">
        <v>215</v>
      </c>
      <c r="B45" s="6" t="s">
        <v>178</v>
      </c>
      <c r="C45" s="6" t="s">
        <v>216</v>
      </c>
      <c r="D45" s="6" t="s">
        <v>217</v>
      </c>
      <c r="E45" s="6" t="s">
        <v>19</v>
      </c>
      <c r="F45" s="9" t="s">
        <v>34</v>
      </c>
      <c r="G45" s="8" t="s">
        <v>21</v>
      </c>
      <c r="H45" s="6" t="s">
        <v>218</v>
      </c>
      <c r="I45" s="6" t="n">
        <v>3</v>
      </c>
      <c r="J45" s="6" t="s">
        <v>212</v>
      </c>
      <c r="K45" s="6" t="s">
        <v>219</v>
      </c>
      <c r="L45" s="6" t="s">
        <v>220</v>
      </c>
    </row>
    <row r="46" customFormat="false" ht="39.75" hidden="false" customHeight="true" outlineLevel="0" collapsed="false">
      <c r="A46" s="6" t="s">
        <v>221</v>
      </c>
      <c r="B46" s="6" t="s">
        <v>178</v>
      </c>
      <c r="C46" s="6" t="s">
        <v>222</v>
      </c>
      <c r="D46" s="6" t="s">
        <v>223</v>
      </c>
      <c r="E46" s="6" t="s">
        <v>19</v>
      </c>
      <c r="F46" s="7" t="s">
        <v>20</v>
      </c>
      <c r="G46" s="8" t="s">
        <v>21</v>
      </c>
      <c r="H46" s="6" t="s">
        <v>224</v>
      </c>
      <c r="I46" s="6" t="n">
        <v>4</v>
      </c>
      <c r="J46" s="6" t="s">
        <v>225</v>
      </c>
      <c r="K46" s="6" t="s">
        <v>226</v>
      </c>
      <c r="L46" s="6" t="s">
        <v>227</v>
      </c>
    </row>
    <row r="47" customFormat="false" ht="39.75" hidden="false" customHeight="true" outlineLevel="0" collapsed="false">
      <c r="A47" s="6" t="s">
        <v>228</v>
      </c>
      <c r="B47" s="6" t="s">
        <v>178</v>
      </c>
      <c r="C47" s="6" t="s">
        <v>229</v>
      </c>
      <c r="D47" s="6" t="s">
        <v>230</v>
      </c>
      <c r="E47" s="6" t="s">
        <v>19</v>
      </c>
      <c r="F47" s="10" t="s">
        <v>43</v>
      </c>
      <c r="G47" s="8" t="s">
        <v>21</v>
      </c>
      <c r="H47" s="6" t="s">
        <v>221</v>
      </c>
      <c r="I47" s="6" t="n">
        <v>3</v>
      </c>
      <c r="J47" s="6" t="s">
        <v>231</v>
      </c>
      <c r="K47" s="6" t="s">
        <v>232</v>
      </c>
      <c r="L47" s="6"/>
    </row>
    <row r="48" customFormat="false" ht="39.75" hidden="false" customHeight="true" outlineLevel="0" collapsed="false">
      <c r="A48" s="6" t="s">
        <v>233</v>
      </c>
      <c r="B48" s="6" t="s">
        <v>178</v>
      </c>
      <c r="C48" s="6" t="s">
        <v>234</v>
      </c>
      <c r="D48" s="6" t="s">
        <v>235</v>
      </c>
      <c r="E48" s="6" t="s">
        <v>19</v>
      </c>
      <c r="F48" s="7" t="s">
        <v>20</v>
      </c>
      <c r="G48" s="8" t="s">
        <v>21</v>
      </c>
      <c r="H48" s="6" t="s">
        <v>236</v>
      </c>
      <c r="I48" s="6" t="n">
        <v>2</v>
      </c>
      <c r="J48" s="6" t="s">
        <v>231</v>
      </c>
      <c r="K48" s="6" t="s">
        <v>237</v>
      </c>
      <c r="L48" s="6" t="s">
        <v>238</v>
      </c>
    </row>
    <row r="49" customFormat="false" ht="27.75" hidden="false" customHeight="true" outlineLevel="0" collapsed="false">
      <c r="A49" s="5" t="s">
        <v>239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39.75" hidden="false" customHeight="true" outlineLevel="0" collapsed="false">
      <c r="A50" s="6" t="s">
        <v>240</v>
      </c>
      <c r="B50" s="6" t="s">
        <v>241</v>
      </c>
      <c r="C50" s="6" t="s">
        <v>242</v>
      </c>
      <c r="D50" s="6" t="s">
        <v>243</v>
      </c>
      <c r="E50" s="6" t="s">
        <v>19</v>
      </c>
      <c r="F50" s="10" t="s">
        <v>43</v>
      </c>
      <c r="G50" s="8" t="s">
        <v>21</v>
      </c>
      <c r="H50" s="6" t="s">
        <v>233</v>
      </c>
      <c r="I50" s="6" t="n">
        <v>8</v>
      </c>
      <c r="J50" s="6" t="s">
        <v>244</v>
      </c>
      <c r="K50" s="6" t="s">
        <v>245</v>
      </c>
      <c r="L50" s="6" t="s">
        <v>246</v>
      </c>
    </row>
    <row r="51" customFormat="false" ht="39.75" hidden="false" customHeight="true" outlineLevel="0" collapsed="false">
      <c r="A51" s="6" t="s">
        <v>247</v>
      </c>
      <c r="B51" s="6" t="s">
        <v>241</v>
      </c>
      <c r="C51" s="6" t="s">
        <v>248</v>
      </c>
      <c r="D51" s="6" t="s">
        <v>249</v>
      </c>
      <c r="E51" s="6" t="s">
        <v>19</v>
      </c>
      <c r="F51" s="10" t="s">
        <v>43</v>
      </c>
      <c r="G51" s="8" t="s">
        <v>21</v>
      </c>
      <c r="H51" s="6" t="s">
        <v>233</v>
      </c>
      <c r="I51" s="6" t="n">
        <v>4</v>
      </c>
      <c r="J51" s="6" t="s">
        <v>244</v>
      </c>
      <c r="K51" s="6" t="s">
        <v>250</v>
      </c>
      <c r="L51" s="6"/>
    </row>
    <row r="52" customFormat="false" ht="39.75" hidden="false" customHeight="true" outlineLevel="0" collapsed="false">
      <c r="A52" s="6" t="s">
        <v>251</v>
      </c>
      <c r="B52" s="6" t="s">
        <v>241</v>
      </c>
      <c r="C52" s="6" t="s">
        <v>252</v>
      </c>
      <c r="D52" s="6" t="s">
        <v>253</v>
      </c>
      <c r="E52" s="6" t="s">
        <v>19</v>
      </c>
      <c r="F52" s="8" t="s">
        <v>145</v>
      </c>
      <c r="G52" s="8" t="s">
        <v>21</v>
      </c>
      <c r="H52" s="6" t="s">
        <v>233</v>
      </c>
      <c r="I52" s="6" t="n">
        <v>6</v>
      </c>
      <c r="J52" s="6" t="s">
        <v>254</v>
      </c>
      <c r="K52" s="6" t="s">
        <v>255</v>
      </c>
      <c r="L52" s="6" t="s">
        <v>256</v>
      </c>
    </row>
    <row r="53" customFormat="false" ht="39.75" hidden="false" customHeight="true" outlineLevel="0" collapsed="false">
      <c r="A53" s="6" t="s">
        <v>257</v>
      </c>
      <c r="B53" s="6" t="s">
        <v>241</v>
      </c>
      <c r="C53" s="6" t="s">
        <v>258</v>
      </c>
      <c r="D53" s="6" t="s">
        <v>259</v>
      </c>
      <c r="E53" s="6" t="s">
        <v>19</v>
      </c>
      <c r="F53" s="8" t="s">
        <v>145</v>
      </c>
      <c r="G53" s="8" t="s">
        <v>21</v>
      </c>
      <c r="H53" s="6" t="s">
        <v>233</v>
      </c>
      <c r="I53" s="6" t="n">
        <v>4</v>
      </c>
      <c r="J53" s="6" t="s">
        <v>254</v>
      </c>
      <c r="K53" s="6" t="s">
        <v>260</v>
      </c>
      <c r="L53" s="6"/>
    </row>
    <row r="54" customFormat="false" ht="15" hidden="false" customHeight="false" outlineLevel="0" collapsed="false"/>
    <row r="55" customFormat="false" ht="15" hidden="false" customHeight="true" outlineLevel="0" collapsed="false">
      <c r="A55" s="11" t="s">
        <v>261</v>
      </c>
    </row>
    <row r="56" customFormat="false" ht="15" hidden="false" customHeight="true" outlineLevel="0" collapsed="false">
      <c r="A56" s="12" t="s">
        <v>262</v>
      </c>
      <c r="B56" s="13" t="n">
        <f aca="false">COUNTA(B4:B200)</f>
        <v>49</v>
      </c>
    </row>
    <row r="57" customFormat="false" ht="15" hidden="false" customHeight="true" outlineLevel="0" collapsed="false">
      <c r="A57" s="12" t="s">
        <v>263</v>
      </c>
      <c r="B57" s="13" t="n">
        <f aca="false">SUM(I4:I200)</f>
        <v>125</v>
      </c>
    </row>
    <row r="58" customFormat="false" ht="15" hidden="false" customHeight="true" outlineLevel="0" collapsed="false">
      <c r="A58" s="12" t="s">
        <v>264</v>
      </c>
      <c r="B58" s="13" t="n">
        <f aca="false">COUNTIF(G4:G200,"Not Started")</f>
        <v>44</v>
      </c>
    </row>
    <row r="59" customFormat="false" ht="15" hidden="false" customHeight="true" outlineLevel="0" collapsed="false">
      <c r="A59" s="12" t="s">
        <v>265</v>
      </c>
      <c r="B59" s="13" t="n">
        <f aca="false">COUNTIF(G4:G200,"In Progress")</f>
        <v>0</v>
      </c>
    </row>
    <row r="60" customFormat="false" ht="15" hidden="false" customHeight="true" outlineLevel="0" collapsed="false">
      <c r="A60" s="12" t="s">
        <v>266</v>
      </c>
      <c r="B60" s="13" t="n">
        <f aca="false">COUNTIF(G4:G200,"Done")</f>
        <v>0</v>
      </c>
    </row>
  </sheetData>
  <autoFilter ref="A3:L3"/>
  <mergeCells count="8">
    <mergeCell ref="A1:L1"/>
    <mergeCell ref="A2:L2"/>
    <mergeCell ref="A4:L4"/>
    <mergeCell ref="A10:L10"/>
    <mergeCell ref="A23:L23"/>
    <mergeCell ref="A31:L31"/>
    <mergeCell ref="A37:L37"/>
    <mergeCell ref="A49:L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45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35"/>
  </cols>
  <sheetData>
    <row r="1" customFormat="false" ht="34.5" hidden="false" customHeight="true" outlineLevel="0" collapsed="false">
      <c r="A1" s="2" t="s">
        <v>267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4" t="s">
        <v>2</v>
      </c>
      <c r="B2" s="4" t="s">
        <v>268</v>
      </c>
      <c r="C2" s="4" t="s">
        <v>269</v>
      </c>
      <c r="D2" s="4" t="s">
        <v>270</v>
      </c>
      <c r="E2" s="4" t="s">
        <v>271</v>
      </c>
      <c r="F2" s="4" t="s">
        <v>272</v>
      </c>
      <c r="G2" s="4" t="s">
        <v>6</v>
      </c>
      <c r="H2" s="4" t="s">
        <v>8</v>
      </c>
      <c r="I2" s="4" t="s">
        <v>273</v>
      </c>
    </row>
    <row r="3" customFormat="false" ht="45" hidden="false" customHeight="true" outlineLevel="0" collapsed="false">
      <c r="A3" s="6" t="s">
        <v>274</v>
      </c>
      <c r="B3" s="6" t="s">
        <v>275</v>
      </c>
      <c r="C3" s="9" t="s">
        <v>34</v>
      </c>
      <c r="D3" s="9" t="s">
        <v>34</v>
      </c>
      <c r="E3" s="6" t="n">
        <f aca="false">IF(AND(C3="High",D3="High"),9,IF(OR(C3="High",D3="High"),6,3))</f>
        <v>9</v>
      </c>
      <c r="F3" s="6" t="s">
        <v>276</v>
      </c>
      <c r="G3" s="6" t="s">
        <v>19</v>
      </c>
      <c r="H3" s="6" t="s">
        <v>277</v>
      </c>
      <c r="I3" s="6" t="s">
        <v>278</v>
      </c>
    </row>
    <row r="4" customFormat="false" ht="45" hidden="false" customHeight="true" outlineLevel="0" collapsed="false">
      <c r="A4" s="6" t="s">
        <v>279</v>
      </c>
      <c r="B4" s="6" t="s">
        <v>280</v>
      </c>
      <c r="C4" s="10" t="s">
        <v>43</v>
      </c>
      <c r="D4" s="10" t="s">
        <v>43</v>
      </c>
      <c r="E4" s="6" t="n">
        <f aca="false">IF(AND(C4="High",D4="High"),9,IF(OR(C4="High",D4="High"),6,3))</f>
        <v>3</v>
      </c>
      <c r="F4" s="6" t="s">
        <v>281</v>
      </c>
      <c r="G4" s="6" t="s">
        <v>19</v>
      </c>
      <c r="H4" s="6" t="s">
        <v>277</v>
      </c>
      <c r="I4" s="6" t="s">
        <v>282</v>
      </c>
    </row>
    <row r="5" customFormat="false" ht="45" hidden="false" customHeight="true" outlineLevel="0" collapsed="false">
      <c r="A5" s="6" t="s">
        <v>283</v>
      </c>
      <c r="B5" s="6" t="s">
        <v>284</v>
      </c>
      <c r="C5" s="10" t="s">
        <v>43</v>
      </c>
      <c r="D5" s="9" t="s">
        <v>34</v>
      </c>
      <c r="E5" s="6" t="n">
        <f aca="false">IF(AND(C5="High",D5="High"),9,IF(OR(C5="High",D5="High"),6,3))</f>
        <v>6</v>
      </c>
      <c r="F5" s="6" t="s">
        <v>285</v>
      </c>
      <c r="G5" s="6" t="s">
        <v>19</v>
      </c>
      <c r="H5" s="6" t="s">
        <v>277</v>
      </c>
      <c r="I5" s="6" t="s">
        <v>286</v>
      </c>
    </row>
    <row r="6" customFormat="false" ht="45" hidden="false" customHeight="true" outlineLevel="0" collapsed="false">
      <c r="A6" s="6" t="s">
        <v>287</v>
      </c>
      <c r="B6" s="6" t="s">
        <v>288</v>
      </c>
      <c r="C6" s="8" t="s">
        <v>145</v>
      </c>
      <c r="D6" s="9" t="s">
        <v>34</v>
      </c>
      <c r="E6" s="6" t="n">
        <f aca="false">IF(AND(C6="High",D6="High"),9,IF(OR(C6="High",D6="High"),6,3))</f>
        <v>6</v>
      </c>
      <c r="F6" s="6" t="s">
        <v>289</v>
      </c>
      <c r="G6" s="6" t="s">
        <v>19</v>
      </c>
      <c r="H6" s="6" t="s">
        <v>277</v>
      </c>
      <c r="I6" s="6" t="s">
        <v>290</v>
      </c>
    </row>
    <row r="7" customFormat="false" ht="45" hidden="false" customHeight="true" outlineLevel="0" collapsed="false">
      <c r="A7" s="6" t="s">
        <v>291</v>
      </c>
      <c r="B7" s="6" t="s">
        <v>292</v>
      </c>
      <c r="C7" s="10" t="s">
        <v>43</v>
      </c>
      <c r="D7" s="10" t="s">
        <v>43</v>
      </c>
      <c r="E7" s="6" t="n">
        <f aca="false">IF(AND(C7="High",D7="High"),9,IF(OR(C7="High",D7="High"),6,3))</f>
        <v>3</v>
      </c>
      <c r="F7" s="6" t="s">
        <v>293</v>
      </c>
      <c r="G7" s="6" t="s">
        <v>19</v>
      </c>
      <c r="H7" s="6" t="s">
        <v>277</v>
      </c>
      <c r="I7" s="6" t="s">
        <v>294</v>
      </c>
    </row>
    <row r="8" customFormat="false" ht="45" hidden="false" customHeight="true" outlineLevel="0" collapsed="false">
      <c r="A8" s="6" t="s">
        <v>295</v>
      </c>
      <c r="B8" s="6" t="s">
        <v>296</v>
      </c>
      <c r="C8" s="9" t="s">
        <v>34</v>
      </c>
      <c r="D8" s="10" t="s">
        <v>43</v>
      </c>
      <c r="E8" s="6" t="n">
        <f aca="false">IF(AND(C8="High",D8="High"),9,IF(OR(C8="High",D8="High"),6,3))</f>
        <v>6</v>
      </c>
      <c r="F8" s="6" t="s">
        <v>297</v>
      </c>
      <c r="G8" s="6" t="s">
        <v>19</v>
      </c>
      <c r="H8" s="6" t="s">
        <v>277</v>
      </c>
      <c r="I8" s="6" t="s">
        <v>298</v>
      </c>
    </row>
    <row r="9" customFormat="false" ht="45" hidden="false" customHeight="true" outlineLevel="0" collapsed="false">
      <c r="A9" s="6" t="s">
        <v>299</v>
      </c>
      <c r="B9" s="6" t="s">
        <v>300</v>
      </c>
      <c r="C9" s="10" t="s">
        <v>43</v>
      </c>
      <c r="D9" s="8" t="s">
        <v>145</v>
      </c>
      <c r="E9" s="6" t="n">
        <f aca="false">IF(AND(C9="High",D9="High"),9,IF(OR(C9="High",D9="High"),6,3))</f>
        <v>3</v>
      </c>
      <c r="F9" s="6" t="s">
        <v>301</v>
      </c>
      <c r="G9" s="6" t="s">
        <v>19</v>
      </c>
      <c r="H9" s="6" t="s">
        <v>277</v>
      </c>
      <c r="I9" s="6" t="s">
        <v>302</v>
      </c>
    </row>
    <row r="10" customFormat="false" ht="45" hidden="false" customHeight="true" outlineLevel="0" collapsed="false">
      <c r="A10" s="6" t="s">
        <v>303</v>
      </c>
      <c r="B10" s="6" t="s">
        <v>304</v>
      </c>
      <c r="C10" s="10" t="s">
        <v>43</v>
      </c>
      <c r="D10" s="10" t="s">
        <v>43</v>
      </c>
      <c r="E10" s="6" t="n">
        <f aca="false">IF(AND(C10="High",D10="High"),9,IF(OR(C10="High",D10="High"),6,3))</f>
        <v>3</v>
      </c>
      <c r="F10" s="6" t="s">
        <v>305</v>
      </c>
      <c r="G10" s="6" t="s">
        <v>19</v>
      </c>
      <c r="H10" s="6" t="s">
        <v>277</v>
      </c>
      <c r="I10" s="6" t="s">
        <v>306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D8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  <col collapsed="false" customWidth="true" hidden="false" outlineLevel="0" max="3" min="3" style="1" width="35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6" min="6" style="1" width="30"/>
  </cols>
  <sheetData>
    <row r="1" customFormat="false" ht="34.5" hidden="false" customHeight="true" outlineLevel="0" collapsed="false">
      <c r="A1" s="2" t="s">
        <v>307</v>
      </c>
      <c r="B1" s="2"/>
      <c r="C1" s="2"/>
      <c r="D1" s="2"/>
      <c r="E1" s="2"/>
      <c r="F1" s="2"/>
    </row>
    <row r="2" customFormat="false" ht="51.75" hidden="false" customHeight="true" outlineLevel="0" collapsed="false">
      <c r="A2" s="4" t="s">
        <v>308</v>
      </c>
      <c r="B2" s="4" t="s">
        <v>5</v>
      </c>
      <c r="C2" s="4" t="s">
        <v>309</v>
      </c>
      <c r="D2" s="4" t="s">
        <v>310</v>
      </c>
      <c r="E2" s="4" t="s">
        <v>311</v>
      </c>
      <c r="F2" s="4" t="s">
        <v>13</v>
      </c>
    </row>
    <row r="3" customFormat="false" ht="49.5" hidden="false" customHeight="true" outlineLevel="0" collapsed="false">
      <c r="A3" s="6" t="s">
        <v>312</v>
      </c>
      <c r="B3" s="6" t="s">
        <v>313</v>
      </c>
      <c r="C3" s="6" t="s">
        <v>314</v>
      </c>
      <c r="D3" s="6" t="s">
        <v>181</v>
      </c>
      <c r="E3" s="6" t="s">
        <v>315</v>
      </c>
      <c r="F3" s="6" t="s">
        <v>316</v>
      </c>
    </row>
    <row r="4" customFormat="false" ht="49.5" hidden="false" customHeight="true" outlineLevel="0" collapsed="false">
      <c r="A4" s="6" t="s">
        <v>317</v>
      </c>
      <c r="B4" s="6" t="s">
        <v>318</v>
      </c>
      <c r="C4" s="6" t="s">
        <v>319</v>
      </c>
      <c r="D4" s="6" t="s">
        <v>320</v>
      </c>
      <c r="E4" s="6" t="s">
        <v>315</v>
      </c>
      <c r="F4" s="6" t="s">
        <v>321</v>
      </c>
    </row>
    <row r="5" customFormat="false" ht="49.5" hidden="false" customHeight="true" outlineLevel="0" collapsed="false">
      <c r="A5" s="6" t="s">
        <v>322</v>
      </c>
      <c r="B5" s="6" t="s">
        <v>323</v>
      </c>
      <c r="C5" s="6" t="s">
        <v>324</v>
      </c>
      <c r="D5" s="6" t="s">
        <v>325</v>
      </c>
      <c r="E5" s="6" t="s">
        <v>315</v>
      </c>
      <c r="F5" s="6" t="s">
        <v>326</v>
      </c>
    </row>
    <row r="6" customFormat="false" ht="49.5" hidden="false" customHeight="true" outlineLevel="0" collapsed="false">
      <c r="A6" s="6" t="s">
        <v>327</v>
      </c>
      <c r="B6" s="6" t="s">
        <v>328</v>
      </c>
      <c r="C6" s="6" t="s">
        <v>329</v>
      </c>
      <c r="D6" s="6" t="s">
        <v>325</v>
      </c>
      <c r="E6" s="6" t="s">
        <v>315</v>
      </c>
      <c r="F6" s="6" t="s">
        <v>330</v>
      </c>
    </row>
    <row r="7" customFormat="false" ht="49.5" hidden="false" customHeight="true" outlineLevel="0" collapsed="false">
      <c r="A7" s="6" t="s">
        <v>331</v>
      </c>
      <c r="B7" s="6" t="s">
        <v>332</v>
      </c>
      <c r="C7" s="6" t="s">
        <v>333</v>
      </c>
      <c r="D7" s="6" t="s">
        <v>325</v>
      </c>
      <c r="E7" s="6" t="s">
        <v>315</v>
      </c>
      <c r="F7" s="6" t="s">
        <v>334</v>
      </c>
    </row>
    <row r="8" customFormat="false" ht="49.5" hidden="false" customHeight="true" outlineLevel="0" collapsed="false">
      <c r="A8" s="6" t="s">
        <v>335</v>
      </c>
      <c r="B8" s="6" t="s">
        <v>336</v>
      </c>
      <c r="C8" s="6" t="s">
        <v>337</v>
      </c>
      <c r="D8" s="6" t="s">
        <v>325</v>
      </c>
      <c r="E8" s="6" t="s">
        <v>315</v>
      </c>
      <c r="F8" s="6" t="s">
        <v>338</v>
      </c>
    </row>
    <row r="9" customFormat="false" ht="49.5" hidden="false" customHeight="true" outlineLevel="0" collapsed="false">
      <c r="A9" s="6" t="s">
        <v>339</v>
      </c>
      <c r="B9" s="6" t="s">
        <v>340</v>
      </c>
      <c r="C9" s="6" t="s">
        <v>341</v>
      </c>
      <c r="D9" s="6" t="s">
        <v>325</v>
      </c>
      <c r="E9" s="6" t="s">
        <v>315</v>
      </c>
      <c r="F9" s="6" t="s">
        <v>342</v>
      </c>
    </row>
    <row r="10" customFormat="false" ht="49.5" hidden="false" customHeight="true" outlineLevel="0" collapsed="false">
      <c r="A10" s="6" t="s">
        <v>343</v>
      </c>
      <c r="B10" s="6" t="s">
        <v>344</v>
      </c>
      <c r="C10" s="6" t="s">
        <v>345</v>
      </c>
      <c r="D10" s="6" t="s">
        <v>325</v>
      </c>
      <c r="E10" s="6" t="s">
        <v>315</v>
      </c>
      <c r="F10" s="6" t="s">
        <v>346</v>
      </c>
    </row>
    <row r="11" customFormat="false" ht="49.5" hidden="false" customHeight="true" outlineLevel="0" collapsed="false">
      <c r="A11" s="6" t="s">
        <v>347</v>
      </c>
      <c r="B11" s="6" t="s">
        <v>348</v>
      </c>
      <c r="C11" s="6" t="s">
        <v>349</v>
      </c>
      <c r="D11" s="6" t="s">
        <v>350</v>
      </c>
      <c r="E11" s="6" t="s">
        <v>315</v>
      </c>
      <c r="F11" s="6" t="s">
        <v>351</v>
      </c>
    </row>
    <row r="12" customFormat="false" ht="49.5" hidden="false" customHeight="true" outlineLevel="0" collapsed="false">
      <c r="A12" s="6" t="s">
        <v>352</v>
      </c>
      <c r="B12" s="6" t="s">
        <v>353</v>
      </c>
      <c r="C12" s="6" t="s">
        <v>354</v>
      </c>
      <c r="D12" s="6" t="s">
        <v>29</v>
      </c>
      <c r="E12" s="6" t="s">
        <v>315</v>
      </c>
      <c r="F12" s="6" t="s">
        <v>355</v>
      </c>
    </row>
    <row r="13" customFormat="false" ht="49.5" hidden="false" customHeight="true" outlineLevel="0" collapsed="false">
      <c r="A13" s="6" t="s">
        <v>356</v>
      </c>
      <c r="B13" s="6" t="s">
        <v>357</v>
      </c>
      <c r="C13" s="6" t="s">
        <v>358</v>
      </c>
      <c r="D13" s="6" t="s">
        <v>359</v>
      </c>
      <c r="E13" s="6" t="s">
        <v>149</v>
      </c>
      <c r="F13" s="6" t="s">
        <v>360</v>
      </c>
    </row>
    <row r="14" customFormat="false" ht="49.5" hidden="false" customHeight="true" outlineLevel="0" collapsed="false">
      <c r="A14" s="6" t="s">
        <v>361</v>
      </c>
      <c r="B14" s="6" t="s">
        <v>362</v>
      </c>
      <c r="C14" s="6" t="s">
        <v>363</v>
      </c>
      <c r="D14" s="6" t="s">
        <v>364</v>
      </c>
      <c r="E14" s="6" t="s">
        <v>315</v>
      </c>
      <c r="F14" s="6" t="s">
        <v>365</v>
      </c>
    </row>
    <row r="15" customFormat="false" ht="49.5" hidden="false" customHeight="true" outlineLevel="0" collapsed="false">
      <c r="A15" s="6" t="s">
        <v>366</v>
      </c>
      <c r="B15" s="6" t="s">
        <v>367</v>
      </c>
      <c r="C15" s="6" t="s">
        <v>368</v>
      </c>
      <c r="D15" s="6" t="s">
        <v>325</v>
      </c>
      <c r="E15" s="6" t="s">
        <v>315</v>
      </c>
      <c r="F15" s="6" t="s">
        <v>369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5" min="3" style="1" width="25"/>
    <col collapsed="false" customWidth="true" hidden="false" outlineLevel="0" max="6" min="6" style="1" width="22"/>
    <col collapsed="false" customWidth="true" hidden="false" outlineLevel="0" max="7" min="7" style="1" width="25"/>
  </cols>
  <sheetData>
    <row r="1" customFormat="false" ht="34.5" hidden="false" customHeight="true" outlineLevel="0" collapsed="false">
      <c r="A1" s="2" t="s">
        <v>370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4" t="s">
        <v>371</v>
      </c>
      <c r="B2" s="4" t="s">
        <v>372</v>
      </c>
      <c r="C2" s="4" t="s">
        <v>373</v>
      </c>
      <c r="D2" s="4" t="s">
        <v>374</v>
      </c>
      <c r="E2" s="4" t="s">
        <v>375</v>
      </c>
      <c r="F2" s="4" t="s">
        <v>376</v>
      </c>
      <c r="G2" s="4" t="s">
        <v>13</v>
      </c>
    </row>
    <row r="3" customFormat="false" ht="30" hidden="false" customHeight="true" outlineLevel="0" collapsed="false">
      <c r="A3" s="6" t="s">
        <v>377</v>
      </c>
      <c r="B3" s="6" t="s">
        <v>378</v>
      </c>
      <c r="C3" s="6" t="s">
        <v>379</v>
      </c>
      <c r="D3" s="6" t="s">
        <v>380</v>
      </c>
      <c r="E3" s="6" t="s">
        <v>381</v>
      </c>
      <c r="F3" s="6" t="s">
        <v>382</v>
      </c>
      <c r="G3" s="6" t="s">
        <v>383</v>
      </c>
    </row>
    <row r="4" customFormat="false" ht="30" hidden="false" customHeight="true" outlineLevel="0" collapsed="false">
      <c r="A4" s="6" t="s">
        <v>384</v>
      </c>
      <c r="B4" s="6" t="s">
        <v>385</v>
      </c>
      <c r="C4" s="6" t="s">
        <v>386</v>
      </c>
      <c r="D4" s="6" t="s">
        <v>387</v>
      </c>
      <c r="E4" s="6" t="s">
        <v>388</v>
      </c>
      <c r="F4" s="6" t="s">
        <v>389</v>
      </c>
      <c r="G4" s="6" t="s">
        <v>390</v>
      </c>
    </row>
    <row r="5" customFormat="false" ht="30" hidden="false" customHeight="true" outlineLevel="0" collapsed="false">
      <c r="A5" s="6" t="s">
        <v>391</v>
      </c>
      <c r="B5" s="6" t="s">
        <v>392</v>
      </c>
      <c r="C5" s="6" t="s">
        <v>393</v>
      </c>
      <c r="D5" s="6" t="s">
        <v>394</v>
      </c>
      <c r="E5" s="6" t="s">
        <v>395</v>
      </c>
      <c r="F5" s="6" t="s">
        <v>396</v>
      </c>
      <c r="G5" s="6" t="s">
        <v>397</v>
      </c>
    </row>
    <row r="6" customFormat="false" ht="30" hidden="false" customHeight="true" outlineLevel="0" collapsed="false">
      <c r="A6" s="6" t="s">
        <v>398</v>
      </c>
      <c r="B6" s="6" t="s">
        <v>399</v>
      </c>
      <c r="C6" s="6" t="s">
        <v>400</v>
      </c>
      <c r="D6" s="6" t="s">
        <v>401</v>
      </c>
      <c r="E6" s="6" t="s">
        <v>402</v>
      </c>
      <c r="F6" s="6" t="s">
        <v>403</v>
      </c>
      <c r="G6" s="6" t="s">
        <v>404</v>
      </c>
    </row>
    <row r="7" customFormat="false" ht="30" hidden="false" customHeight="true" outlineLevel="0" collapsed="false">
      <c r="A7" s="6" t="s">
        <v>405</v>
      </c>
      <c r="B7" s="6" t="s">
        <v>399</v>
      </c>
      <c r="C7" s="6" t="s">
        <v>406</v>
      </c>
      <c r="D7" s="6" t="s">
        <v>407</v>
      </c>
      <c r="E7" s="6" t="s">
        <v>408</v>
      </c>
      <c r="F7" s="6" t="s">
        <v>409</v>
      </c>
      <c r="G7" s="6" t="s">
        <v>410</v>
      </c>
    </row>
    <row r="8" customFormat="false" ht="30" hidden="false" customHeight="true" outlineLevel="0" collapsed="false">
      <c r="A8" s="6" t="s">
        <v>411</v>
      </c>
      <c r="B8" s="6" t="s">
        <v>399</v>
      </c>
      <c r="C8" s="6" t="s">
        <v>412</v>
      </c>
      <c r="D8" s="6" t="s">
        <v>413</v>
      </c>
      <c r="E8" s="6" t="s">
        <v>414</v>
      </c>
      <c r="F8" s="6" t="s">
        <v>414</v>
      </c>
      <c r="G8" s="6" t="s">
        <v>415</v>
      </c>
    </row>
    <row r="9" customFormat="false" ht="30" hidden="false" customHeight="true" outlineLevel="0" collapsed="false">
      <c r="A9" s="6" t="s">
        <v>416</v>
      </c>
      <c r="B9" s="6" t="s">
        <v>399</v>
      </c>
      <c r="C9" s="6" t="s">
        <v>417</v>
      </c>
      <c r="D9" s="6" t="s">
        <v>416</v>
      </c>
      <c r="E9" s="6" t="s">
        <v>418</v>
      </c>
      <c r="F9" s="6" t="s">
        <v>403</v>
      </c>
      <c r="G9" s="6"/>
    </row>
    <row r="10" customFormat="false" ht="30" hidden="false" customHeight="true" outlineLevel="0" collapsed="false">
      <c r="A10" s="6" t="s">
        <v>419</v>
      </c>
      <c r="B10" s="6" t="s">
        <v>420</v>
      </c>
      <c r="C10" s="6" t="s">
        <v>421</v>
      </c>
      <c r="D10" s="6" t="s">
        <v>422</v>
      </c>
      <c r="E10" s="6" t="s">
        <v>423</v>
      </c>
      <c r="F10" s="6" t="s">
        <v>424</v>
      </c>
      <c r="G10" s="6" t="s">
        <v>425</v>
      </c>
    </row>
    <row r="11" customFormat="false" ht="30" hidden="false" customHeight="true" outlineLevel="0" collapsed="false">
      <c r="A11" s="6" t="s">
        <v>426</v>
      </c>
      <c r="B11" s="6" t="s">
        <v>378</v>
      </c>
      <c r="C11" s="6" t="s">
        <v>427</v>
      </c>
      <c r="D11" s="6" t="s">
        <v>428</v>
      </c>
      <c r="E11" s="6" t="s">
        <v>429</v>
      </c>
      <c r="F11" s="6" t="s">
        <v>429</v>
      </c>
      <c r="G11" s="6" t="s">
        <v>430</v>
      </c>
    </row>
    <row r="12" customFormat="false" ht="30" hidden="false" customHeight="true" outlineLevel="0" collapsed="false">
      <c r="A12" s="6" t="s">
        <v>431</v>
      </c>
      <c r="B12" s="6" t="s">
        <v>432</v>
      </c>
      <c r="C12" s="6" t="s">
        <v>433</v>
      </c>
      <c r="D12" s="6" t="s">
        <v>434</v>
      </c>
      <c r="E12" s="6" t="s">
        <v>435</v>
      </c>
      <c r="F12" s="6" t="s">
        <v>436</v>
      </c>
      <c r="G12" s="6" t="s">
        <v>437</v>
      </c>
    </row>
    <row r="13" customFormat="false" ht="30" hidden="false" customHeight="true" outlineLevel="0" collapsed="false">
      <c r="A13" s="6" t="s">
        <v>438</v>
      </c>
      <c r="B13" s="6" t="s">
        <v>439</v>
      </c>
      <c r="C13" s="6" t="s">
        <v>440</v>
      </c>
      <c r="D13" s="6" t="s">
        <v>438</v>
      </c>
      <c r="E13" s="6" t="s">
        <v>414</v>
      </c>
      <c r="F13" s="6" t="s">
        <v>436</v>
      </c>
      <c r="G13" s="6"/>
    </row>
    <row r="14" customFormat="false" ht="30" hidden="false" customHeight="true" outlineLevel="0" collapsed="false">
      <c r="A14" s="6" t="s">
        <v>441</v>
      </c>
      <c r="B14" s="6" t="s">
        <v>439</v>
      </c>
      <c r="C14" s="6" t="s">
        <v>442</v>
      </c>
      <c r="D14" s="6" t="s">
        <v>443</v>
      </c>
      <c r="E14" s="6" t="s">
        <v>444</v>
      </c>
      <c r="F14" s="6" t="s">
        <v>445</v>
      </c>
      <c r="G14" s="6"/>
    </row>
    <row r="15" customFormat="false" ht="30" hidden="false" customHeight="true" outlineLevel="0" collapsed="false">
      <c r="A15" s="6" t="s">
        <v>446</v>
      </c>
      <c r="B15" s="6" t="s">
        <v>447</v>
      </c>
      <c r="C15" s="6" t="s">
        <v>448</v>
      </c>
      <c r="D15" s="6" t="s">
        <v>22</v>
      </c>
      <c r="E15" s="6" t="s">
        <v>22</v>
      </c>
      <c r="F15" s="6" t="s">
        <v>22</v>
      </c>
      <c r="G15" s="6" t="s">
        <v>449</v>
      </c>
    </row>
    <row r="16" customFormat="false" ht="30" hidden="false" customHeight="true" outlineLevel="0" collapsed="false">
      <c r="A16" s="6" t="s">
        <v>450</v>
      </c>
      <c r="B16" s="6" t="s">
        <v>447</v>
      </c>
      <c r="C16" s="6" t="s">
        <v>22</v>
      </c>
      <c r="D16" s="6" t="s">
        <v>448</v>
      </c>
      <c r="E16" s="6" t="s">
        <v>22</v>
      </c>
      <c r="F16" s="6" t="s">
        <v>22</v>
      </c>
      <c r="G16" s="6" t="s">
        <v>451</v>
      </c>
    </row>
    <row r="17" customFormat="false" ht="30" hidden="false" customHeight="true" outlineLevel="0" collapsed="false">
      <c r="A17" s="6" t="s">
        <v>452</v>
      </c>
      <c r="B17" s="6" t="s">
        <v>447</v>
      </c>
      <c r="C17" s="6" t="s">
        <v>22</v>
      </c>
      <c r="D17" s="6" t="s">
        <v>22</v>
      </c>
      <c r="E17" s="6" t="s">
        <v>448</v>
      </c>
      <c r="F17" s="6" t="s">
        <v>22</v>
      </c>
      <c r="G17" s="6" t="s">
        <v>453</v>
      </c>
    </row>
    <row r="18" customFormat="false" ht="30" hidden="false" customHeight="true" outlineLevel="0" collapsed="false">
      <c r="A18" s="6" t="s">
        <v>454</v>
      </c>
      <c r="B18" s="6" t="s">
        <v>447</v>
      </c>
      <c r="C18" s="6" t="s">
        <v>22</v>
      </c>
      <c r="D18" s="6" t="s">
        <v>22</v>
      </c>
      <c r="E18" s="6" t="s">
        <v>22</v>
      </c>
      <c r="F18" s="6" t="s">
        <v>448</v>
      </c>
      <c r="G18" s="6" t="s">
        <v>455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2026-03-04T20:26:41Z</dcterms:created>
  <dc:creator>openpyxl</dc:creator>
  <dc:description/>
  <dc:language>en-US</dc:language>
  <cp:lastModifiedBy/>
  <dcterms:modified xsi:type="dcterms:W3CDTF">2026-03-04T20:27:07Z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